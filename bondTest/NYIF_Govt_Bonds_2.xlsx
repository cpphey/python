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nton.Theunissen\Dropbox\Anton\Teaching\NYIF\Models\Fixed Income\"/>
    </mc:Choice>
  </mc:AlternateContent>
  <bookViews>
    <workbookView xWindow="0" yWindow="180" windowWidth="15360" windowHeight="7575" tabRatio="852"/>
  </bookViews>
  <sheets>
    <sheet name="EG US T_Bill m &lt;= 182" sheetId="19" r:id="rId1"/>
    <sheet name="EG US T_Bill m &gt; 182" sheetId="14" r:id="rId2"/>
    <sheet name="US T_Bill Short" sheetId="15" r:id="rId3"/>
    <sheet name="US T_Bill Long" sheetId="23" r:id="rId4"/>
    <sheet name="EG T-Note" sheetId="24" r:id="rId5"/>
    <sheet name="T-Note" sheetId="25" r:id="rId6"/>
    <sheet name="Ac Int" sheetId="21" r:id="rId7"/>
    <sheet name="Sheet1" sheetId="22" r:id="rId8"/>
  </sheets>
  <definedNames>
    <definedName name="solver_adj" localSheetId="4" hidden="1">'EG T-Note'!$K$25</definedName>
    <definedName name="solver_adj" localSheetId="5" hidden="1">'T-Note'!$K$24</definedName>
    <definedName name="solver_cvg" localSheetId="4" hidden="1">0.0001</definedName>
    <definedName name="solver_cvg" localSheetId="5" hidden="1">0.0001</definedName>
    <definedName name="solver_drv" localSheetId="4" hidden="1">1</definedName>
    <definedName name="solver_drv" localSheetId="5" hidden="1">1</definedName>
    <definedName name="solver_eng" localSheetId="4" hidden="1">1</definedName>
    <definedName name="solver_eng" localSheetId="5" hidden="1">1</definedName>
    <definedName name="solver_est" localSheetId="4" hidden="1">1</definedName>
    <definedName name="solver_est" localSheetId="5" hidden="1">1</definedName>
    <definedName name="solver_itr" localSheetId="4" hidden="1">2147483647</definedName>
    <definedName name="solver_itr" localSheetId="5" hidden="1">2147483647</definedName>
    <definedName name="solver_mip" localSheetId="4" hidden="1">2147483647</definedName>
    <definedName name="solver_mip" localSheetId="5" hidden="1">2147483647</definedName>
    <definedName name="solver_mni" localSheetId="4" hidden="1">30</definedName>
    <definedName name="solver_mni" localSheetId="5" hidden="1">30</definedName>
    <definedName name="solver_mrt" localSheetId="4" hidden="1">0.075</definedName>
    <definedName name="solver_mrt" localSheetId="5" hidden="1">0.075</definedName>
    <definedName name="solver_msl" localSheetId="4" hidden="1">2</definedName>
    <definedName name="solver_msl" localSheetId="5" hidden="1">2</definedName>
    <definedName name="solver_neg" localSheetId="4" hidden="1">1</definedName>
    <definedName name="solver_neg" localSheetId="5" hidden="1">1</definedName>
    <definedName name="solver_nod" localSheetId="4" hidden="1">2147483647</definedName>
    <definedName name="solver_nod" localSheetId="5" hidden="1">2147483647</definedName>
    <definedName name="solver_num" localSheetId="4" hidden="1">0</definedName>
    <definedName name="solver_num" localSheetId="5" hidden="1">0</definedName>
    <definedName name="solver_nwt" localSheetId="4" hidden="1">1</definedName>
    <definedName name="solver_nwt" localSheetId="5" hidden="1">1</definedName>
    <definedName name="solver_opt" localSheetId="4" hidden="1">'EG T-Note'!$K$48</definedName>
    <definedName name="solver_opt" localSheetId="5" hidden="1">'T-Note'!$K$47</definedName>
    <definedName name="solver_pre" localSheetId="4" hidden="1">0.000001</definedName>
    <definedName name="solver_pre" localSheetId="5" hidden="1">0.000001</definedName>
    <definedName name="solver_rbv" localSheetId="4" hidden="1">1</definedName>
    <definedName name="solver_rbv" localSheetId="5" hidden="1">1</definedName>
    <definedName name="solver_rlx" localSheetId="4" hidden="1">2</definedName>
    <definedName name="solver_rlx" localSheetId="5" hidden="1">2</definedName>
    <definedName name="solver_rsd" localSheetId="4" hidden="1">0</definedName>
    <definedName name="solver_rsd" localSheetId="5" hidden="1">0</definedName>
    <definedName name="solver_scl" localSheetId="4" hidden="1">1</definedName>
    <definedName name="solver_scl" localSheetId="5" hidden="1">1</definedName>
    <definedName name="solver_sho" localSheetId="4" hidden="1">2</definedName>
    <definedName name="solver_sho" localSheetId="5" hidden="1">2</definedName>
    <definedName name="solver_ssz" localSheetId="4" hidden="1">100</definedName>
    <definedName name="solver_ssz" localSheetId="5" hidden="1">100</definedName>
    <definedName name="solver_tim" localSheetId="4" hidden="1">2147483647</definedName>
    <definedName name="solver_tim" localSheetId="5" hidden="1">2147483647</definedName>
    <definedName name="solver_tol" localSheetId="4" hidden="1">0.01</definedName>
    <definedName name="solver_tol" localSheetId="5" hidden="1">0.01</definedName>
    <definedName name="solver_typ" localSheetId="4" hidden="1">3</definedName>
    <definedName name="solver_typ" localSheetId="5" hidden="1">3</definedName>
    <definedName name="solver_val" localSheetId="4" hidden="1">0</definedName>
    <definedName name="solver_val" localSheetId="5" hidden="1">0</definedName>
    <definedName name="solver_ver" localSheetId="4" hidden="1">3</definedName>
    <definedName name="solver_ver" localSheetId="5" hidden="1">3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7" i="24" l="1"/>
  <c r="B13" i="24"/>
  <c r="C27" i="24" s="1"/>
  <c r="B12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18" i="24"/>
  <c r="B11" i="24"/>
  <c r="C12" i="24" s="1"/>
  <c r="B14" i="24" s="1"/>
  <c r="B15" i="24" s="1"/>
  <c r="B19" i="24" s="1"/>
  <c r="C13" i="24"/>
  <c r="B10" i="24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B20" i="24"/>
  <c r="C17" i="24"/>
  <c r="C18" i="24" s="1"/>
  <c r="C15" i="24"/>
  <c r="H9" i="22"/>
  <c r="B4" i="21"/>
  <c r="E13" i="21" s="1"/>
  <c r="G13" i="21" s="1"/>
  <c r="P6" i="21"/>
  <c r="Q5" i="21" s="1"/>
  <c r="Q6" i="21" s="1"/>
  <c r="B7" i="21"/>
  <c r="D7" i="21" s="1"/>
  <c r="C12" i="21"/>
  <c r="E8" i="21" s="1"/>
  <c r="B12" i="21"/>
  <c r="C18" i="21"/>
  <c r="B18" i="21"/>
  <c r="B8" i="21"/>
  <c r="L13" i="21"/>
  <c r="L14" i="21"/>
  <c r="M19" i="21" s="1"/>
  <c r="B9" i="21"/>
  <c r="B10" i="21"/>
  <c r="P10" i="21"/>
  <c r="B11" i="21"/>
  <c r="L11" i="21"/>
  <c r="L12" i="21"/>
  <c r="B13" i="21"/>
  <c r="D13" i="21" s="1"/>
  <c r="H13" i="21" s="1"/>
  <c r="M13" i="21"/>
  <c r="B14" i="21"/>
  <c r="M14" i="21"/>
  <c r="B15" i="21"/>
  <c r="D15" i="21"/>
  <c r="E15" i="21"/>
  <c r="F15" i="21" s="1"/>
  <c r="M15" i="21"/>
  <c r="B16" i="21"/>
  <c r="D16" i="21"/>
  <c r="E16" i="21"/>
  <c r="G16" i="21" s="1"/>
  <c r="H16" i="21" s="1"/>
  <c r="B17" i="21"/>
  <c r="D17" i="21"/>
  <c r="D18" i="21"/>
  <c r="N19" i="21"/>
  <c r="K20" i="21"/>
  <c r="N26" i="21"/>
  <c r="C4" i="23"/>
  <c r="C4" i="15"/>
  <c r="C22" i="14"/>
  <c r="G5" i="14" s="1"/>
  <c r="F5" i="14"/>
  <c r="G6" i="14" s="1"/>
  <c r="C13" i="14"/>
  <c r="C24" i="14" s="1"/>
  <c r="H5" i="14" s="1"/>
  <c r="C14" i="14"/>
  <c r="C23" i="14"/>
  <c r="H13" i="14" s="1"/>
  <c r="C15" i="14"/>
  <c r="F8" i="14"/>
  <c r="G8" i="14" s="1"/>
  <c r="I8" i="14"/>
  <c r="I16" i="14" s="1"/>
  <c r="H16" i="14"/>
  <c r="D22" i="14"/>
  <c r="D23" i="14"/>
  <c r="C29" i="14"/>
  <c r="C22" i="19"/>
  <c r="H5" i="19" s="1"/>
  <c r="L5" i="19" s="1"/>
  <c r="C13" i="19"/>
  <c r="C24" i="19"/>
  <c r="I5" i="19"/>
  <c r="C14" i="19"/>
  <c r="C23" i="19"/>
  <c r="C15" i="19"/>
  <c r="G8" i="19"/>
  <c r="H8" i="19" s="1"/>
  <c r="J8" i="19"/>
  <c r="I13" i="19"/>
  <c r="I16" i="19"/>
  <c r="J16" i="19"/>
  <c r="D22" i="19"/>
  <c r="D23" i="19"/>
  <c r="B15" i="25"/>
  <c r="H31" i="15"/>
  <c r="H31" i="23"/>
  <c r="B15" i="22"/>
  <c r="K15" i="23"/>
  <c r="B16" i="22"/>
  <c r="I15" i="15"/>
  <c r="J5" i="23"/>
  <c r="O31" i="15"/>
  <c r="B9" i="25"/>
  <c r="C6" i="23"/>
  <c r="A12" i="23"/>
  <c r="C12" i="23"/>
  <c r="C7" i="15"/>
  <c r="K15" i="15"/>
  <c r="B11" i="25"/>
  <c r="C10" i="15"/>
  <c r="J31" i="15"/>
  <c r="C12" i="15"/>
  <c r="J15" i="23"/>
  <c r="B11" i="22"/>
  <c r="B4" i="22"/>
  <c r="B10" i="25"/>
  <c r="L5" i="23"/>
  <c r="C6" i="15"/>
  <c r="K5" i="23"/>
  <c r="M31" i="15"/>
  <c r="B17" i="25"/>
  <c r="I31" i="15"/>
  <c r="M31" i="23"/>
  <c r="G31" i="15"/>
  <c r="H15" i="23"/>
  <c r="K5" i="15"/>
  <c r="B2" i="22"/>
  <c r="J15" i="15"/>
  <c r="B12" i="23"/>
  <c r="C10" i="23"/>
  <c r="N31" i="15"/>
  <c r="G15" i="15"/>
  <c r="G15" i="23"/>
  <c r="B14" i="22"/>
  <c r="I15" i="23"/>
  <c r="B7" i="25"/>
  <c r="K31" i="15"/>
  <c r="G31" i="23"/>
  <c r="L31" i="23"/>
  <c r="B12" i="15"/>
  <c r="B8" i="25"/>
  <c r="J5" i="15"/>
  <c r="H15" i="15"/>
  <c r="B3" i="22"/>
  <c r="B13" i="22"/>
  <c r="K31" i="23"/>
  <c r="L5" i="15"/>
  <c r="L15" i="23"/>
  <c r="O31" i="23"/>
  <c r="B10" i="22"/>
  <c r="I31" i="23"/>
  <c r="N31" i="23"/>
  <c r="B6" i="25"/>
  <c r="C5" i="15"/>
  <c r="C7" i="23"/>
  <c r="B12" i="22"/>
  <c r="B19" i="25"/>
  <c r="B7" i="22"/>
  <c r="B6" i="22"/>
  <c r="J31" i="23"/>
  <c r="L31" i="15"/>
  <c r="B9" i="22"/>
  <c r="C5" i="23"/>
  <c r="L15" i="15"/>
  <c r="B5" i="25"/>
  <c r="B5" i="22"/>
  <c r="A12" i="15"/>
  <c r="B8" i="22"/>
  <c r="B18" i="25" l="1"/>
  <c r="C17" i="25"/>
  <c r="B27" i="25"/>
  <c r="B30" i="25"/>
  <c r="B34" i="25"/>
  <c r="B38" i="25"/>
  <c r="B42" i="25"/>
  <c r="B40" i="25"/>
  <c r="B31" i="25"/>
  <c r="B35" i="25"/>
  <c r="B39" i="25"/>
  <c r="B43" i="25"/>
  <c r="B26" i="25"/>
  <c r="B28" i="25"/>
  <c r="B32" i="25"/>
  <c r="B36" i="25"/>
  <c r="B44" i="25"/>
  <c r="B29" i="25"/>
  <c r="B33" i="25"/>
  <c r="B37" i="25"/>
  <c r="B41" i="25"/>
  <c r="B45" i="25"/>
  <c r="A26" i="25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C12" i="25"/>
  <c r="B13" i="25"/>
  <c r="B12" i="25"/>
  <c r="C13" i="25"/>
  <c r="G5" i="19"/>
  <c r="G13" i="19" s="1"/>
  <c r="J13" i="19" s="1"/>
  <c r="F16" i="21"/>
  <c r="D11" i="21"/>
  <c r="M20" i="21"/>
  <c r="D10" i="21"/>
  <c r="E14" i="21"/>
  <c r="G14" i="21" s="1"/>
  <c r="C19" i="15"/>
  <c r="C27" i="15"/>
  <c r="C20" i="15"/>
  <c r="C22" i="15" s="1"/>
  <c r="B13" i="15"/>
  <c r="H20" i="15" s="1"/>
  <c r="K36" i="15" s="1"/>
  <c r="C18" i="23"/>
  <c r="C29" i="23" s="1"/>
  <c r="C13" i="23"/>
  <c r="I20" i="23" s="1"/>
  <c r="L36" i="23" s="1"/>
  <c r="C27" i="23"/>
  <c r="C20" i="23"/>
  <c r="C22" i="23" s="1"/>
  <c r="C28" i="23"/>
  <c r="C19" i="23"/>
  <c r="C13" i="15"/>
  <c r="I20" i="15" s="1"/>
  <c r="L36" i="15" s="1"/>
  <c r="H10" i="15"/>
  <c r="K10" i="15" s="1"/>
  <c r="C18" i="15"/>
  <c r="C29" i="15" s="1"/>
  <c r="A13" i="23"/>
  <c r="G10" i="23" s="1"/>
  <c r="J10" i="23" s="1"/>
  <c r="A13" i="15"/>
  <c r="G20" i="15" s="1"/>
  <c r="J36" i="15" s="1"/>
  <c r="B13" i="23"/>
  <c r="H20" i="23" s="1"/>
  <c r="K36" i="23" s="1"/>
  <c r="H6" i="19"/>
  <c r="K14" i="19"/>
  <c r="J14" i="19"/>
  <c r="I14" i="19" s="1"/>
  <c r="I6" i="19"/>
  <c r="J5" i="19"/>
  <c r="G6" i="19" s="1"/>
  <c r="H13" i="19"/>
  <c r="K13" i="19" s="1"/>
  <c r="H6" i="14"/>
  <c r="I5" i="14"/>
  <c r="J14" i="14" s="1"/>
  <c r="J17" i="19"/>
  <c r="C17" i="19"/>
  <c r="K5" i="19" s="1"/>
  <c r="C16" i="19"/>
  <c r="C18" i="19" s="1"/>
  <c r="C19" i="19"/>
  <c r="C19" i="14"/>
  <c r="K5" i="14" s="1"/>
  <c r="C17" i="14"/>
  <c r="C16" i="14"/>
  <c r="C18" i="14"/>
  <c r="E10" i="21"/>
  <c r="E11" i="21"/>
  <c r="D12" i="21"/>
  <c r="E12" i="21"/>
  <c r="K43" i="24"/>
  <c r="K39" i="24"/>
  <c r="K35" i="24"/>
  <c r="K31" i="24"/>
  <c r="K27" i="24"/>
  <c r="D27" i="24"/>
  <c r="C28" i="24"/>
  <c r="N20" i="21"/>
  <c r="O20" i="21" s="1"/>
  <c r="P20" i="21" s="1"/>
  <c r="Q20" i="21" s="1"/>
  <c r="K21" i="21"/>
  <c r="O19" i="21"/>
  <c r="P19" i="21" s="1"/>
  <c r="Q19" i="21" s="1"/>
  <c r="E18" i="21"/>
  <c r="G15" i="21"/>
  <c r="H15" i="21" s="1"/>
  <c r="D9" i="21"/>
  <c r="L15" i="21"/>
  <c r="P8" i="21" s="1"/>
  <c r="D8" i="21"/>
  <c r="F8" i="21" s="1"/>
  <c r="K38" i="24"/>
  <c r="K34" i="24"/>
  <c r="K30" i="24"/>
  <c r="E17" i="21"/>
  <c r="F13" i="21"/>
  <c r="E7" i="21"/>
  <c r="G8" i="21" s="1"/>
  <c r="E9" i="21"/>
  <c r="K45" i="24"/>
  <c r="K41" i="24"/>
  <c r="K37" i="24"/>
  <c r="K33" i="24"/>
  <c r="K29" i="24"/>
  <c r="D14" i="21"/>
  <c r="H14" i="21" s="1"/>
  <c r="K44" i="24"/>
  <c r="K40" i="24"/>
  <c r="K36" i="24"/>
  <c r="K32" i="24"/>
  <c r="K28" i="24"/>
  <c r="K46" i="24"/>
  <c r="K42" i="24"/>
  <c r="C26" i="25" l="1"/>
  <c r="C27" i="25" s="1"/>
  <c r="C28" i="25" s="1"/>
  <c r="C29" i="25" s="1"/>
  <c r="C30" i="25" s="1"/>
  <c r="C31" i="25" s="1"/>
  <c r="C32" i="25" s="1"/>
  <c r="C33" i="25" s="1"/>
  <c r="D33" i="25" s="1"/>
  <c r="I10" i="15"/>
  <c r="L10" i="15" s="1"/>
  <c r="F14" i="21"/>
  <c r="I14" i="14"/>
  <c r="B14" i="25"/>
  <c r="C15" i="25" s="1"/>
  <c r="K37" i="25"/>
  <c r="K40" i="25"/>
  <c r="K30" i="25"/>
  <c r="K33" i="25"/>
  <c r="K32" i="25"/>
  <c r="K39" i="25"/>
  <c r="K42" i="25"/>
  <c r="K27" i="25"/>
  <c r="J5" i="14"/>
  <c r="K45" i="25"/>
  <c r="K29" i="25"/>
  <c r="K28" i="25"/>
  <c r="D28" i="25"/>
  <c r="K35" i="25"/>
  <c r="C34" i="25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D45" i="25" s="1"/>
  <c r="K41" i="25"/>
  <c r="K44" i="25"/>
  <c r="D26" i="25"/>
  <c r="K31" i="25"/>
  <c r="D31" i="25"/>
  <c r="G10" i="15"/>
  <c r="J10" i="15" s="1"/>
  <c r="H10" i="23"/>
  <c r="K10" i="23" s="1"/>
  <c r="I10" i="23"/>
  <c r="L10" i="23" s="1"/>
  <c r="G20" i="23"/>
  <c r="J36" i="23" s="1"/>
  <c r="K47" i="24"/>
  <c r="M27" i="24" s="1"/>
  <c r="F13" i="14"/>
  <c r="I17" i="14"/>
  <c r="F6" i="14"/>
  <c r="M7" i="23"/>
  <c r="J7" i="23"/>
  <c r="M17" i="23" s="1"/>
  <c r="G36" i="23"/>
  <c r="L7" i="23"/>
  <c r="O17" i="23" s="1"/>
  <c r="O7" i="23"/>
  <c r="I36" i="23"/>
  <c r="C24" i="15"/>
  <c r="C21" i="15"/>
  <c r="C23" i="15" s="1"/>
  <c r="F11" i="21"/>
  <c r="G11" i="21"/>
  <c r="H11" i="21" s="1"/>
  <c r="I33" i="23"/>
  <c r="G33" i="23"/>
  <c r="H33" i="23"/>
  <c r="C28" i="15"/>
  <c r="G17" i="15" s="1"/>
  <c r="H8" i="21"/>
  <c r="M29" i="24"/>
  <c r="F17" i="21"/>
  <c r="G17" i="21"/>
  <c r="H17" i="21" s="1"/>
  <c r="D28" i="24"/>
  <c r="C29" i="24"/>
  <c r="L29" i="24" s="1"/>
  <c r="G10" i="21"/>
  <c r="H10" i="21" s="1"/>
  <c r="F10" i="21"/>
  <c r="G14" i="14"/>
  <c r="N7" i="23"/>
  <c r="H36" i="23"/>
  <c r="K7" i="23"/>
  <c r="N17" i="23" s="1"/>
  <c r="O7" i="15"/>
  <c r="L7" i="15"/>
  <c r="O17" i="15" s="1"/>
  <c r="I36" i="15"/>
  <c r="C24" i="23"/>
  <c r="C21" i="23"/>
  <c r="C23" i="23" s="1"/>
  <c r="N7" i="15"/>
  <c r="K7" i="15"/>
  <c r="N17" i="15" s="1"/>
  <c r="H36" i="15"/>
  <c r="I7" i="15"/>
  <c r="L17" i="15" s="1"/>
  <c r="H7" i="15"/>
  <c r="K17" i="15" s="1"/>
  <c r="G7" i="15"/>
  <c r="J17" i="15" s="1"/>
  <c r="M28" i="24"/>
  <c r="L28" i="24"/>
  <c r="F7" i="21"/>
  <c r="G7" i="21"/>
  <c r="H7" i="21" s="1"/>
  <c r="F18" i="21"/>
  <c r="G18" i="21"/>
  <c r="H18" i="21" s="1"/>
  <c r="G9" i="21"/>
  <c r="H9" i="21" s="1"/>
  <c r="F9" i="21"/>
  <c r="M21" i="21"/>
  <c r="K22" i="21"/>
  <c r="N21" i="21"/>
  <c r="F12" i="21"/>
  <c r="G12" i="21"/>
  <c r="H12" i="21" s="1"/>
  <c r="J7" i="15"/>
  <c r="M17" i="15" s="1"/>
  <c r="G36" i="15"/>
  <c r="M7" i="15"/>
  <c r="I7" i="23"/>
  <c r="H7" i="23"/>
  <c r="G7" i="23"/>
  <c r="G17" i="23" s="1"/>
  <c r="G8" i="23" s="1"/>
  <c r="D34" i="25" l="1"/>
  <c r="K43" i="25"/>
  <c r="K34" i="25"/>
  <c r="K26" i="25"/>
  <c r="K38" i="25"/>
  <c r="D29" i="25"/>
  <c r="D27" i="25"/>
  <c r="D32" i="25"/>
  <c r="D30" i="25"/>
  <c r="K36" i="25"/>
  <c r="I25" i="15"/>
  <c r="L33" i="15" s="1"/>
  <c r="D41" i="25"/>
  <c r="D38" i="25"/>
  <c r="D42" i="25"/>
  <c r="D43" i="25"/>
  <c r="D37" i="25"/>
  <c r="D44" i="25"/>
  <c r="D35" i="25"/>
  <c r="D39" i="25"/>
  <c r="D40" i="25"/>
  <c r="D36" i="25"/>
  <c r="K25" i="15"/>
  <c r="N33" i="15" s="1"/>
  <c r="G25" i="15"/>
  <c r="J33" i="15" s="1"/>
  <c r="H25" i="15"/>
  <c r="K33" i="15" s="1"/>
  <c r="J25" i="15"/>
  <c r="M33" i="15" s="1"/>
  <c r="L17" i="23"/>
  <c r="G25" i="23"/>
  <c r="J33" i="23" s="1"/>
  <c r="I17" i="15"/>
  <c r="I8" i="15" s="1"/>
  <c r="H17" i="15"/>
  <c r="K37" i="15" s="1"/>
  <c r="L25" i="15"/>
  <c r="O33" i="15" s="1"/>
  <c r="J37" i="23"/>
  <c r="J17" i="23"/>
  <c r="K17" i="23"/>
  <c r="H17" i="23"/>
  <c r="K37" i="23" s="1"/>
  <c r="I17" i="23"/>
  <c r="L37" i="23" s="1"/>
  <c r="N8" i="23"/>
  <c r="K8" i="23"/>
  <c r="O21" i="21"/>
  <c r="P21" i="21" s="1"/>
  <c r="Q21" i="21" s="1"/>
  <c r="N8" i="15"/>
  <c r="K8" i="15"/>
  <c r="N34" i="15"/>
  <c r="L8" i="23"/>
  <c r="O8" i="23"/>
  <c r="L8" i="15"/>
  <c r="O34" i="15"/>
  <c r="O8" i="15"/>
  <c r="C30" i="24"/>
  <c r="D29" i="24"/>
  <c r="G33" i="15"/>
  <c r="H33" i="15"/>
  <c r="I33" i="15"/>
  <c r="O30" i="24"/>
  <c r="O34" i="24"/>
  <c r="O38" i="24"/>
  <c r="O27" i="24"/>
  <c r="N30" i="24"/>
  <c r="N34" i="24"/>
  <c r="N38" i="24"/>
  <c r="N42" i="24"/>
  <c r="N46" i="24"/>
  <c r="O28" i="24"/>
  <c r="O32" i="24"/>
  <c r="O36" i="24"/>
  <c r="O40" i="24"/>
  <c r="O44" i="24"/>
  <c r="N27" i="24"/>
  <c r="O41" i="24"/>
  <c r="N36" i="24"/>
  <c r="O29" i="24"/>
  <c r="O45" i="24"/>
  <c r="N40" i="24"/>
  <c r="O33" i="24"/>
  <c r="N28" i="24"/>
  <c r="N44" i="24"/>
  <c r="O37" i="24"/>
  <c r="K48" i="24"/>
  <c r="N32" i="24"/>
  <c r="O46" i="24"/>
  <c r="N33" i="24"/>
  <c r="O43" i="24"/>
  <c r="N39" i="24"/>
  <c r="O35" i="24"/>
  <c r="N31" i="24"/>
  <c r="O42" i="24"/>
  <c r="N45" i="24"/>
  <c r="N41" i="24"/>
  <c r="N37" i="24"/>
  <c r="N29" i="24"/>
  <c r="N43" i="24"/>
  <c r="O39" i="24"/>
  <c r="N35" i="24"/>
  <c r="O31" i="24"/>
  <c r="M8" i="23"/>
  <c r="J8" i="23"/>
  <c r="J37" i="15"/>
  <c r="N22" i="21"/>
  <c r="K23" i="21"/>
  <c r="M22" i="21"/>
  <c r="M8" i="15"/>
  <c r="J8" i="15"/>
  <c r="M34" i="15"/>
  <c r="I13" i="14"/>
  <c r="G13" i="14"/>
  <c r="J13" i="14" s="1"/>
  <c r="L27" i="24"/>
  <c r="K46" i="25" l="1"/>
  <c r="L32" i="25" s="1"/>
  <c r="D46" i="25"/>
  <c r="F31" i="25" s="1"/>
  <c r="M38" i="25"/>
  <c r="L38" i="25"/>
  <c r="M28" i="25"/>
  <c r="F30" i="25"/>
  <c r="M45" i="25"/>
  <c r="M41" i="25"/>
  <c r="M27" i="25"/>
  <c r="L39" i="25"/>
  <c r="K47" i="25"/>
  <c r="N37" i="25"/>
  <c r="N42" i="25"/>
  <c r="O29" i="25"/>
  <c r="O44" i="25"/>
  <c r="N31" i="25"/>
  <c r="O37" i="25"/>
  <c r="O43" i="25"/>
  <c r="O30" i="25"/>
  <c r="N32" i="25"/>
  <c r="O42" i="25"/>
  <c r="N45" i="25"/>
  <c r="N29" i="25"/>
  <c r="O38" i="25"/>
  <c r="O41" i="25"/>
  <c r="O31" i="25"/>
  <c r="O34" i="25"/>
  <c r="O36" i="25"/>
  <c r="N40" i="25"/>
  <c r="N30" i="25"/>
  <c r="O33" i="25"/>
  <c r="O32" i="25"/>
  <c r="O39" i="25"/>
  <c r="O45" i="25"/>
  <c r="N28" i="25"/>
  <c r="N38" i="25"/>
  <c r="L33" i="25"/>
  <c r="N41" i="25"/>
  <c r="O26" i="25"/>
  <c r="N34" i="25"/>
  <c r="N36" i="25"/>
  <c r="O40" i="25"/>
  <c r="N33" i="25"/>
  <c r="N39" i="25"/>
  <c r="N27" i="25"/>
  <c r="O28" i="25"/>
  <c r="N35" i="25"/>
  <c r="N44" i="25"/>
  <c r="N26" i="25"/>
  <c r="M36" i="25"/>
  <c r="M39" i="25"/>
  <c r="F43" i="25"/>
  <c r="E43" i="25"/>
  <c r="L29" i="25"/>
  <c r="L44" i="25"/>
  <c r="L37" i="25"/>
  <c r="L30" i="25"/>
  <c r="M42" i="25"/>
  <c r="E38" i="25"/>
  <c r="F38" i="25"/>
  <c r="F42" i="25"/>
  <c r="E42" i="25"/>
  <c r="F36" i="25"/>
  <c r="E36" i="25"/>
  <c r="F39" i="25"/>
  <c r="E39" i="25"/>
  <c r="L28" i="25"/>
  <c r="L41" i="25"/>
  <c r="M34" i="25"/>
  <c r="M40" i="25"/>
  <c r="L27" i="25"/>
  <c r="E35" i="25"/>
  <c r="F35" i="25"/>
  <c r="F45" i="25"/>
  <c r="D47" i="25"/>
  <c r="G37" i="25"/>
  <c r="H43" i="25"/>
  <c r="H30" i="25"/>
  <c r="H32" i="25"/>
  <c r="G42" i="25"/>
  <c r="G45" i="25"/>
  <c r="H28" i="25"/>
  <c r="G38" i="25"/>
  <c r="G41" i="25"/>
  <c r="G26" i="25"/>
  <c r="G34" i="25"/>
  <c r="G36" i="25"/>
  <c r="G40" i="25"/>
  <c r="H33" i="25"/>
  <c r="G39" i="25"/>
  <c r="H27" i="25"/>
  <c r="H45" i="25"/>
  <c r="G28" i="25"/>
  <c r="H38" i="25"/>
  <c r="H41" i="25"/>
  <c r="H26" i="25"/>
  <c r="H34" i="25"/>
  <c r="H36" i="25"/>
  <c r="H40" i="25"/>
  <c r="G33" i="25"/>
  <c r="H39" i="25"/>
  <c r="G27" i="25"/>
  <c r="G29" i="25"/>
  <c r="H35" i="25"/>
  <c r="H44" i="25"/>
  <c r="H31" i="25"/>
  <c r="H37" i="25"/>
  <c r="G43" i="25"/>
  <c r="G30" i="25"/>
  <c r="G32" i="25"/>
  <c r="H42" i="25"/>
  <c r="H29" i="25"/>
  <c r="G35" i="25"/>
  <c r="G44" i="25"/>
  <c r="G31" i="25"/>
  <c r="E27" i="25"/>
  <c r="L35" i="25"/>
  <c r="L31" i="25"/>
  <c r="L43" i="25"/>
  <c r="M32" i="25"/>
  <c r="F29" i="25"/>
  <c r="F41" i="25"/>
  <c r="F34" i="25"/>
  <c r="F40" i="25"/>
  <c r="E40" i="25"/>
  <c r="F44" i="25"/>
  <c r="E44" i="25"/>
  <c r="E37" i="25"/>
  <c r="F37" i="25"/>
  <c r="L37" i="15"/>
  <c r="J25" i="23"/>
  <c r="M33" i="23" s="1"/>
  <c r="I8" i="23"/>
  <c r="I25" i="23"/>
  <c r="H8" i="23"/>
  <c r="H25" i="23"/>
  <c r="D30" i="24"/>
  <c r="C31" i="24"/>
  <c r="M30" i="24"/>
  <c r="L30" i="24"/>
  <c r="O47" i="24"/>
  <c r="O22" i="21"/>
  <c r="P22" i="21" s="1"/>
  <c r="Q22" i="21" s="1"/>
  <c r="N47" i="24"/>
  <c r="M23" i="21"/>
  <c r="N23" i="21"/>
  <c r="K24" i="21"/>
  <c r="M30" i="25" l="1"/>
  <c r="M33" i="25"/>
  <c r="O27" i="25"/>
  <c r="L26" i="25"/>
  <c r="L42" i="25"/>
  <c r="L34" i="25"/>
  <c r="M37" i="25"/>
  <c r="O35" i="25"/>
  <c r="O46" i="25" s="1"/>
  <c r="N43" i="25"/>
  <c r="N46" i="25" s="1"/>
  <c r="M31" i="25"/>
  <c r="M44" i="25"/>
  <c r="M29" i="25"/>
  <c r="L36" i="25"/>
  <c r="M35" i="25"/>
  <c r="M26" i="25"/>
  <c r="L45" i="25"/>
  <c r="M43" i="25"/>
  <c r="L40" i="25"/>
  <c r="E30" i="25"/>
  <c r="E32" i="25"/>
  <c r="E28" i="25"/>
  <c r="E33" i="25"/>
  <c r="E31" i="25"/>
  <c r="E45" i="25"/>
  <c r="F28" i="25"/>
  <c r="F32" i="25"/>
  <c r="E29" i="25"/>
  <c r="E26" i="25"/>
  <c r="F33" i="25"/>
  <c r="F26" i="25"/>
  <c r="F27" i="25"/>
  <c r="E41" i="25"/>
  <c r="E34" i="25"/>
  <c r="G46" i="25"/>
  <c r="H46" i="25"/>
  <c r="K25" i="23"/>
  <c r="N33" i="23" s="1"/>
  <c r="K33" i="23"/>
  <c r="L33" i="23"/>
  <c r="L25" i="23"/>
  <c r="O33" i="23" s="1"/>
  <c r="O23" i="21"/>
  <c r="P23" i="21" s="1"/>
  <c r="Q23" i="21" s="1"/>
  <c r="C32" i="24"/>
  <c r="D31" i="24"/>
  <c r="M31" i="24"/>
  <c r="L31" i="24"/>
  <c r="N24" i="21"/>
  <c r="K25" i="21"/>
  <c r="M24" i="21"/>
  <c r="L46" i="25" l="1"/>
  <c r="M46" i="25"/>
  <c r="F46" i="25"/>
  <c r="E46" i="25"/>
  <c r="G47" i="25" s="1"/>
  <c r="L25" i="21"/>
  <c r="K27" i="21"/>
  <c r="M25" i="21"/>
  <c r="N25" i="21"/>
  <c r="O24" i="21"/>
  <c r="P24" i="21" s="1"/>
  <c r="Q24" i="21" s="1"/>
  <c r="D32" i="24"/>
  <c r="C33" i="24"/>
  <c r="M32" i="24"/>
  <c r="L32" i="24"/>
  <c r="H47" i="25" l="1"/>
  <c r="C34" i="24"/>
  <c r="D33" i="24"/>
  <c r="M33" i="24"/>
  <c r="L33" i="24"/>
  <c r="O25" i="21"/>
  <c r="P25" i="21" s="1"/>
  <c r="Q25" i="21"/>
  <c r="K28" i="21"/>
  <c r="N27" i="21"/>
  <c r="K29" i="21" l="1"/>
  <c r="N28" i="21"/>
  <c r="D34" i="24"/>
  <c r="C35" i="24"/>
  <c r="M34" i="24"/>
  <c r="L34" i="24"/>
  <c r="C36" i="24" l="1"/>
  <c r="D35" i="24"/>
  <c r="L35" i="24"/>
  <c r="M35" i="24"/>
  <c r="N29" i="21"/>
  <c r="K30" i="21"/>
  <c r="K31" i="21" l="1"/>
  <c r="N30" i="21"/>
  <c r="D36" i="24"/>
  <c r="C37" i="24"/>
  <c r="M36" i="24"/>
  <c r="L36" i="24"/>
  <c r="K32" i="21" l="1"/>
  <c r="N31" i="21"/>
  <c r="C38" i="24"/>
  <c r="D37" i="24"/>
  <c r="M37" i="24"/>
  <c r="L37" i="24"/>
  <c r="L32" i="21" l="1"/>
  <c r="M32" i="21" s="1"/>
  <c r="N32" i="21"/>
  <c r="D38" i="24"/>
  <c r="C39" i="24"/>
  <c r="L38" i="24"/>
  <c r="M38" i="24"/>
  <c r="M27" i="21" l="1"/>
  <c r="M26" i="21"/>
  <c r="M28" i="21"/>
  <c r="M29" i="21"/>
  <c r="M30" i="21"/>
  <c r="M31" i="21"/>
  <c r="C40" i="24"/>
  <c r="D39" i="24"/>
  <c r="L39" i="24"/>
  <c r="M39" i="24"/>
  <c r="O32" i="21"/>
  <c r="P32" i="21" s="1"/>
  <c r="Q32" i="21" s="1"/>
  <c r="O29" i="21" l="1"/>
  <c r="P29" i="21" s="1"/>
  <c r="Q29" i="21" s="1"/>
  <c r="D40" i="24"/>
  <c r="C41" i="24"/>
  <c r="M40" i="24"/>
  <c r="L40" i="24"/>
  <c r="O28" i="21"/>
  <c r="P28" i="21" s="1"/>
  <c r="Q28" i="21" s="1"/>
  <c r="O31" i="21"/>
  <c r="P31" i="21" s="1"/>
  <c r="Q31" i="21" s="1"/>
  <c r="O26" i="21"/>
  <c r="P26" i="21" s="1"/>
  <c r="Q26" i="21" s="1"/>
  <c r="O30" i="21"/>
  <c r="P30" i="21" s="1"/>
  <c r="Q30" i="21"/>
  <c r="O27" i="21"/>
  <c r="P27" i="21" s="1"/>
  <c r="Q27" i="21" s="1"/>
  <c r="C42" i="24" l="1"/>
  <c r="D41" i="24"/>
  <c r="M41" i="24"/>
  <c r="L41" i="24"/>
  <c r="D42" i="24" l="1"/>
  <c r="C43" i="24"/>
  <c r="M42" i="24"/>
  <c r="L42" i="24"/>
  <c r="C44" i="24" l="1"/>
  <c r="D43" i="24"/>
  <c r="L43" i="24"/>
  <c r="M43" i="24"/>
  <c r="D44" i="24" l="1"/>
  <c r="C45" i="24"/>
  <c r="L44" i="24"/>
  <c r="M44" i="24"/>
  <c r="C46" i="24" l="1"/>
  <c r="D45" i="24"/>
  <c r="M45" i="24"/>
  <c r="L45" i="24"/>
  <c r="D46" i="24" l="1"/>
  <c r="L46" i="24"/>
  <c r="L47" i="24" s="1"/>
  <c r="M46" i="24"/>
  <c r="M47" i="24" s="1"/>
  <c r="D47" i="24" l="1"/>
  <c r="F46" i="24" s="1"/>
  <c r="D48" i="24" l="1"/>
  <c r="H30" i="24"/>
  <c r="H34" i="24"/>
  <c r="H38" i="24"/>
  <c r="H42" i="24"/>
  <c r="H46" i="24"/>
  <c r="H27" i="24"/>
  <c r="G30" i="24"/>
  <c r="G34" i="24"/>
  <c r="G38" i="24"/>
  <c r="G42" i="24"/>
  <c r="G46" i="24"/>
  <c r="H28" i="24"/>
  <c r="H32" i="24"/>
  <c r="H36" i="24"/>
  <c r="H40" i="24"/>
  <c r="H44" i="24"/>
  <c r="G27" i="24"/>
  <c r="H37" i="24"/>
  <c r="G32" i="24"/>
  <c r="H41" i="24"/>
  <c r="G36" i="24"/>
  <c r="H29" i="24"/>
  <c r="H45" i="24"/>
  <c r="G40" i="24"/>
  <c r="G44" i="24"/>
  <c r="G28" i="24"/>
  <c r="H33" i="24"/>
  <c r="G43" i="24"/>
  <c r="H39" i="24"/>
  <c r="G35" i="24"/>
  <c r="H31" i="24"/>
  <c r="G45" i="24"/>
  <c r="G41" i="24"/>
  <c r="G37" i="24"/>
  <c r="G33" i="24"/>
  <c r="G29" i="24"/>
  <c r="H43" i="24"/>
  <c r="G39" i="24"/>
  <c r="H35" i="24"/>
  <c r="G31" i="24"/>
  <c r="F27" i="24"/>
  <c r="E27" i="24"/>
  <c r="E28" i="24"/>
  <c r="F28" i="24"/>
  <c r="F29" i="24"/>
  <c r="E29" i="24"/>
  <c r="E30" i="24"/>
  <c r="F30" i="24"/>
  <c r="F31" i="24"/>
  <c r="E31" i="24"/>
  <c r="F32" i="24"/>
  <c r="E32" i="24"/>
  <c r="E33" i="24"/>
  <c r="F33" i="24"/>
  <c r="E34" i="24"/>
  <c r="F34" i="24"/>
  <c r="E35" i="24"/>
  <c r="F35" i="24"/>
  <c r="F36" i="24"/>
  <c r="E36" i="24"/>
  <c r="E37" i="24"/>
  <c r="F37" i="24"/>
  <c r="E38" i="24"/>
  <c r="F38" i="24"/>
  <c r="F39" i="24"/>
  <c r="E39" i="24"/>
  <c r="F40" i="24"/>
  <c r="E40" i="24"/>
  <c r="F41" i="24"/>
  <c r="E41" i="24"/>
  <c r="E42" i="24"/>
  <c r="F42" i="24"/>
  <c r="F43" i="24"/>
  <c r="E43" i="24"/>
  <c r="F44" i="24"/>
  <c r="E44" i="24"/>
  <c r="F45" i="24"/>
  <c r="E45" i="24"/>
  <c r="E46" i="24"/>
  <c r="E47" i="24" l="1"/>
  <c r="G48" i="24" s="1"/>
  <c r="H47" i="24"/>
  <c r="F47" i="24"/>
  <c r="G47" i="24"/>
  <c r="H48" i="24" l="1"/>
</calcChain>
</file>

<file path=xl/comments1.xml><?xml version="1.0" encoding="utf-8"?>
<comments xmlns="http://schemas.openxmlformats.org/spreadsheetml/2006/main">
  <authors>
    <author>Anton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Date of last coupon before maturity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Date of next to last coupon before maturity</t>
        </r>
      </text>
    </comment>
  </commentList>
</comments>
</file>

<file path=xl/comments2.xml><?xml version="1.0" encoding="utf-8"?>
<comments xmlns="http://schemas.openxmlformats.org/spreadsheetml/2006/main">
  <authors>
    <author>Anton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Date of last coupon before maturity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Date of next to last coupon before maturity</t>
        </r>
      </text>
    </comment>
  </commentList>
</comments>
</file>

<file path=xl/comments3.xml><?xml version="1.0" encoding="utf-8"?>
<comments xmlns="http://schemas.openxmlformats.org/spreadsheetml/2006/main">
  <authors>
    <author>Anton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Date of last coupon before maturity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Date of next to last coupon before maturity</t>
        </r>
      </text>
    </comment>
  </commentList>
</comments>
</file>

<file path=xl/comments4.xml><?xml version="1.0" encoding="utf-8"?>
<comments xmlns="http://schemas.openxmlformats.org/spreadsheetml/2006/main">
  <authors>
    <author>Anton</author>
  </authors>
  <commentList>
    <comment ref="A20" authorId="0" shapeId="0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Date of last coupon before maturity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Date of next to last coupon before maturity</t>
        </r>
      </text>
    </comment>
  </commentList>
</comments>
</file>

<file path=xl/sharedStrings.xml><?xml version="1.0" encoding="utf-8"?>
<sst xmlns="http://schemas.openxmlformats.org/spreadsheetml/2006/main" count="362" uniqueCount="114">
  <si>
    <t>PX_BID</t>
  </si>
  <si>
    <t>PX_ASK</t>
  </si>
  <si>
    <t>SETTLE_DT</t>
  </si>
  <si>
    <t>YLD_YTM_BID</t>
  </si>
  <si>
    <t>YLD_YTM_MID</t>
  </si>
  <si>
    <t>YLD_YTM_ASK</t>
  </si>
  <si>
    <t>MATURITY</t>
  </si>
  <si>
    <t>PX_MID</t>
  </si>
  <si>
    <t>DUR_BID</t>
  </si>
  <si>
    <t>DUR_MID</t>
  </si>
  <si>
    <t>DUR_ASK</t>
  </si>
  <si>
    <t>GOVT_EQV_YLD_BID</t>
  </si>
  <si>
    <t>GOVT_EQV_YLD_MID</t>
  </si>
  <si>
    <t>GOVT_EQV_YLD_ASK</t>
  </si>
  <si>
    <t>YLD_SPL_BID</t>
  </si>
  <si>
    <t>YLD_SPL_MID</t>
  </si>
  <si>
    <t>YLD_SPL_ASK</t>
  </si>
  <si>
    <t>DUR_ADJ_BID</t>
  </si>
  <si>
    <t>DUR_ADJ_MID</t>
  </si>
  <si>
    <t>DUR_ADJ_ASK</t>
  </si>
  <si>
    <t>CNVX_BID</t>
  </si>
  <si>
    <t>CNVX_MID</t>
  </si>
  <si>
    <t>CNVX_ASK</t>
  </si>
  <si>
    <t>Bloomberg</t>
  </si>
  <si>
    <t>Anton</t>
  </si>
  <si>
    <t>Excel</t>
  </si>
  <si>
    <t>Convexity</t>
  </si>
  <si>
    <t>Days in Year</t>
  </si>
  <si>
    <t>Days to Mat</t>
  </si>
  <si>
    <t>ISSUE_DT</t>
  </si>
  <si>
    <t>Issuance:</t>
  </si>
  <si>
    <t>Security:</t>
  </si>
  <si>
    <t>Quote:</t>
  </si>
  <si>
    <t>Price</t>
  </si>
  <si>
    <t>PCS_QUOTE_TYP</t>
  </si>
  <si>
    <t>Date</t>
  </si>
  <si>
    <t>Years to Mat (act/360)</t>
  </si>
  <si>
    <t>Years to Mat (act/act)</t>
  </si>
  <si>
    <t>Smpl Yld act/360</t>
  </si>
  <si>
    <t>Smpl Yld act/act</t>
  </si>
  <si>
    <t>Day Calcs:</t>
  </si>
  <si>
    <t>Govt BEY</t>
  </si>
  <si>
    <t xml:space="preserve"> </t>
  </si>
  <si>
    <t>Disc Rate</t>
  </si>
  <si>
    <t>Year Calcs:</t>
  </si>
  <si>
    <t>Days to Next Coup Date</t>
  </si>
  <si>
    <t>Days in Year / 360</t>
  </si>
  <si>
    <t>Med_Term CD Yld</t>
  </si>
  <si>
    <t>Mod Duration</t>
  </si>
  <si>
    <t>Mac Duration</t>
  </si>
  <si>
    <t>dp / dy</t>
  </si>
  <si>
    <t>d^2 p / dy^2</t>
  </si>
  <si>
    <t>Last Coup before Mat</t>
  </si>
  <si>
    <t>Next to Last Coup before Mat</t>
  </si>
  <si>
    <t>Days in Last Coup Period</t>
  </si>
  <si>
    <t>Days in Next to Last Coup Period</t>
  </si>
  <si>
    <t>BID</t>
  </si>
  <si>
    <t>MID</t>
  </si>
  <si>
    <t>ASK</t>
  </si>
  <si>
    <t>Clean Price Ask 32nds</t>
  </si>
  <si>
    <t>99-10+</t>
  </si>
  <si>
    <t>Clean Price Ask %</t>
  </si>
  <si>
    <t>Dirty Price %</t>
  </si>
  <si>
    <t>CPN</t>
  </si>
  <si>
    <t>FIRST_CPN_DT</t>
  </si>
  <si>
    <t>Yield</t>
  </si>
  <si>
    <t>NXT_CPN_DT</t>
  </si>
  <si>
    <t>PREV_CPN_DT</t>
  </si>
  <si>
    <t>Days Accrued</t>
  </si>
  <si>
    <t>Basis</t>
  </si>
  <si>
    <t>Accrued Int</t>
  </si>
  <si>
    <t>YLD_ANNUAL_BID</t>
  </si>
  <si>
    <t>YLD_ANNUAL_MID</t>
  </si>
  <si>
    <t>YLD_ANNUAL_ASK</t>
  </si>
  <si>
    <t>YLD_SEMI_ANNUAL_BID</t>
  </si>
  <si>
    <t>YLD_SEMI_ANNUAL_MID</t>
  </si>
  <si>
    <t>YLD_SEMI_ANNUAL_ASK</t>
  </si>
  <si>
    <t>Krgin p. 171</t>
  </si>
  <si>
    <t>Krgin p. 168</t>
  </si>
  <si>
    <t>Coupon Date</t>
  </si>
  <si>
    <t>Sundaresan  p. 39</t>
  </si>
  <si>
    <t>Cash Flow</t>
  </si>
  <si>
    <t>Acc Int</t>
  </si>
  <si>
    <t>Dirty</t>
  </si>
  <si>
    <t>c</t>
  </si>
  <si>
    <t>y</t>
  </si>
  <si>
    <t>1/(1+y/2)</t>
  </si>
  <si>
    <t>Time (Years)</t>
  </si>
  <si>
    <t>Time (Comp periods)</t>
  </si>
  <si>
    <t>Clean</t>
  </si>
  <si>
    <t>D Dirty</t>
  </si>
  <si>
    <t>Acc - D Dirty</t>
  </si>
  <si>
    <t>Acc - D  Dirty</t>
  </si>
  <si>
    <t>Mod Convexity</t>
  </si>
  <si>
    <t>Solver:</t>
  </si>
  <si>
    <t>Sundaresan  p. 41</t>
  </si>
  <si>
    <t>98-22</t>
  </si>
  <si>
    <t>Comp Per</t>
  </si>
  <si>
    <t>Treasury Yld</t>
  </si>
  <si>
    <t>D</t>
  </si>
  <si>
    <t>C</t>
  </si>
  <si>
    <t>YTM</t>
  </si>
  <si>
    <t>STREET CONVENTION</t>
  </si>
  <si>
    <t>Calcs:</t>
  </si>
  <si>
    <t>Days Acc / Basis</t>
  </si>
  <si>
    <t>TREASURY CONVENTION</t>
  </si>
  <si>
    <t>PV Cash</t>
  </si>
  <si>
    <t>D_MAC</t>
  </si>
  <si>
    <t>C_MAC</t>
  </si>
  <si>
    <t>CT10 Govt</t>
  </si>
  <si>
    <t>INT_ACC</t>
  </si>
  <si>
    <t>Dirty Price</t>
  </si>
  <si>
    <t>CB3 Govt</t>
  </si>
  <si>
    <t>CB12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</si>
</sst>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0.0000"/>
    <numFmt numFmtId="165" formatCode="0.000000%"/>
    <numFmt numFmtId="166" formatCode="0.000000"/>
    <numFmt numFmtId="167" formatCode="0.000"/>
    <numFmt numFmtId="168" formatCode="0.00000000"/>
    <numFmt numFmtId="169" formatCode="0.00000000%"/>
    <numFmt numFmtId="170" formatCode="0.00000"/>
    <numFmt numFmtId="171" formatCode="0.000%"/>
    <numFmt numFmtId="172" formatCode="0.0"/>
    <numFmt numFmtId="173" formatCode="0.0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65">
    <xf numFmtId="0" fontId="0" fillId="0" borderId="0" xfId="0"/>
    <xf numFmtId="14" fontId="2" fillId="2" borderId="0" xfId="0" applyNumberFormat="1" applyFont="1" applyFill="1"/>
    <xf numFmtId="0" fontId="0" fillId="2" borderId="0" xfId="0" applyFill="1" applyAlignment="1">
      <alignment horizontal="right"/>
    </xf>
    <xf numFmtId="0" fontId="0" fillId="2" borderId="0" xfId="0" applyFill="1"/>
    <xf numFmtId="14" fontId="0" fillId="2" borderId="0" xfId="0" applyNumberFormat="1" applyFill="1"/>
    <xf numFmtId="0" fontId="2" fillId="2" borderId="0" xfId="0" applyFont="1" applyFill="1"/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2" borderId="0" xfId="0" applyNumberFormat="1" applyFill="1" applyAlignment="1">
      <alignment horizontal="right"/>
    </xf>
    <xf numFmtId="0" fontId="0" fillId="2" borderId="0" xfId="0" applyFont="1" applyFill="1" applyAlignment="1">
      <alignment horizontal="right"/>
    </xf>
    <xf numFmtId="0" fontId="0" fillId="2" borderId="0" xfId="0" applyFont="1" applyFill="1" applyAlignment="1">
      <alignment horizontal="center"/>
    </xf>
    <xf numFmtId="168" fontId="0" fillId="2" borderId="0" xfId="0" applyNumberFormat="1" applyFill="1"/>
    <xf numFmtId="169" fontId="0" fillId="2" borderId="0" xfId="1" applyNumberFormat="1" applyFont="1" applyFill="1"/>
    <xf numFmtId="0" fontId="0" fillId="2" borderId="0" xfId="0" applyFont="1" applyFill="1"/>
    <xf numFmtId="169" fontId="0" fillId="2" borderId="0" xfId="0" applyNumberFormat="1" applyFill="1"/>
    <xf numFmtId="10" fontId="0" fillId="2" borderId="0" xfId="0" applyNumberFormat="1" applyFill="1"/>
    <xf numFmtId="1" fontId="0" fillId="2" borderId="0" xfId="0" applyNumberFormat="1" applyFill="1" applyAlignment="1">
      <alignment horizontal="right"/>
    </xf>
    <xf numFmtId="168" fontId="3" fillId="2" borderId="0" xfId="0" applyNumberFormat="1" applyFont="1" applyFill="1"/>
    <xf numFmtId="164" fontId="0" fillId="2" borderId="0" xfId="0" applyNumberFormat="1" applyFill="1" applyAlignment="1">
      <alignment horizontal="right"/>
    </xf>
    <xf numFmtId="0" fontId="0" fillId="2" borderId="0" xfId="0" applyFill="1" applyAlignment="1">
      <alignment horizontal="center"/>
    </xf>
    <xf numFmtId="170" fontId="0" fillId="2" borderId="0" xfId="0" applyNumberFormat="1" applyFill="1"/>
    <xf numFmtId="166" fontId="0" fillId="2" borderId="0" xfId="0" applyNumberFormat="1" applyFill="1"/>
    <xf numFmtId="165" fontId="0" fillId="2" borderId="0" xfId="1" applyNumberFormat="1" applyFont="1" applyFill="1"/>
    <xf numFmtId="164" fontId="0" fillId="2" borderId="0" xfId="0" applyNumberFormat="1" applyFill="1"/>
    <xf numFmtId="167" fontId="0" fillId="2" borderId="0" xfId="0" applyNumberFormat="1" applyFill="1"/>
    <xf numFmtId="171" fontId="0" fillId="2" borderId="0" xfId="0" applyNumberFormat="1" applyFill="1" applyAlignment="1">
      <alignment horizontal="right"/>
    </xf>
    <xf numFmtId="166" fontId="3" fillId="2" borderId="0" xfId="0" applyNumberFormat="1" applyFont="1" applyFill="1"/>
    <xf numFmtId="10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center"/>
    </xf>
    <xf numFmtId="172" fontId="0" fillId="2" borderId="0" xfId="0" applyNumberFormat="1" applyFill="1"/>
    <xf numFmtId="172" fontId="3" fillId="2" borderId="0" xfId="0" applyNumberFormat="1" applyFont="1" applyFill="1"/>
    <xf numFmtId="0" fontId="3" fillId="2" borderId="0" xfId="0" applyFont="1" applyFill="1"/>
    <xf numFmtId="167" fontId="3" fillId="2" borderId="0" xfId="0" applyNumberFormat="1" applyFont="1" applyFill="1"/>
    <xf numFmtId="164" fontId="3" fillId="2" borderId="0" xfId="0" applyNumberFormat="1" applyFont="1" applyFill="1"/>
    <xf numFmtId="170" fontId="3" fillId="2" borderId="0" xfId="0" applyNumberFormat="1" applyFont="1" applyFill="1"/>
    <xf numFmtId="14" fontId="3" fillId="2" borderId="0" xfId="0" applyNumberFormat="1" applyFont="1" applyFill="1" applyAlignment="1">
      <alignment horizontal="right"/>
    </xf>
    <xf numFmtId="164" fontId="6" fillId="2" borderId="0" xfId="0" applyNumberFormat="1" applyFont="1" applyFill="1"/>
    <xf numFmtId="164" fontId="0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70" fontId="0" fillId="2" borderId="0" xfId="0" applyNumberFormat="1" applyFill="1" applyAlignment="1">
      <alignment horizontal="right"/>
    </xf>
    <xf numFmtId="166" fontId="6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73" fontId="0" fillId="0" borderId="0" xfId="0" applyNumberFormat="1"/>
    <xf numFmtId="173" fontId="0" fillId="2" borderId="0" xfId="0" applyNumberFormat="1" applyFill="1"/>
    <xf numFmtId="2" fontId="0" fillId="2" borderId="0" xfId="0" applyNumberFormat="1" applyFill="1" applyAlignment="1">
      <alignment horizontal="left"/>
    </xf>
    <xf numFmtId="2" fontId="0" fillId="2" borderId="0" xfId="0" applyNumberFormat="1" applyFill="1"/>
    <xf numFmtId="11" fontId="0" fillId="2" borderId="0" xfId="0" applyNumberForma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6" fontId="7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168" fontId="0" fillId="0" borderId="0" xfId="0" applyNumberFormat="1"/>
    <xf numFmtId="0" fontId="0" fillId="2" borderId="0" xfId="0" applyFont="1" applyFill="1" applyAlignment="1">
      <alignment horizontal="left"/>
    </xf>
    <xf numFmtId="166" fontId="0" fillId="2" borderId="0" xfId="0" applyNumberFormat="1" applyFill="1" applyAlignment="1">
      <alignment horizontal="right"/>
    </xf>
    <xf numFmtId="168" fontId="0" fillId="2" borderId="0" xfId="0" applyNumberFormat="1" applyFill="1" applyAlignment="1">
      <alignment horizontal="right"/>
    </xf>
    <xf numFmtId="168" fontId="7" fillId="2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Explanatory Text 2" xfId="2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0.92632271835939017</v>
        <stp/>
        <stp>##V3_BDPV12</stp>
        <stp>CB12 Govt</stp>
        <stp>DUR_ADJ_BID</stp>
        <stp>[NYIF_Govt_Bonds_2.xlsx]US T_Bill Long!R31C10</stp>
        <tr r="J31" s="23"/>
      </tp>
      <tp>
        <v>0.92633374330022378</v>
        <stp/>
        <stp>##V3_BDPV12</stp>
        <stp>CB12 Govt</stp>
        <stp>DUR_ADJ_MID</stp>
        <stp>[NYIF_Govt_Bonds_2.xlsx]US T_Bill Long!R31C11</stp>
        <tr r="K31" s="23"/>
      </tp>
      <tp>
        <v>0.92634476811281175</v>
        <stp/>
        <stp>##V3_BDPV12</stp>
        <stp>CB12 Govt</stp>
        <stp>DUR_ADJ_ASK</stp>
        <stp>[NYIF_Govt_Bonds_2.xlsx]US T_Bill Long!R31C12</stp>
        <tr r="L31" s="23"/>
      </tp>
    </main>
    <main first="bloomberg.rtd">
      <tp>
        <v>0.56237326428299717</v>
        <stp/>
        <stp>##V3_BDPV12</stp>
        <stp>CB12 Govt</stp>
        <stp>YLD_YTM_MID</stp>
        <stp>[NYIF_Govt_Bonds_2.xlsx]US T_Bill Long!R15C8</stp>
        <tr r="H15" s="23"/>
      </tp>
      <tp>
        <v>0.56492797915247939</v>
        <stp/>
        <stp>##V3_BDPV12</stp>
        <stp>CB12 Govt</stp>
        <stp>YLD_YTM_BID</stp>
        <stp>[NYIF_Govt_Bonds_2.xlsx]US T_Bill Long!R15C7</stp>
        <tr r="G15" s="23"/>
      </tp>
      <tp t="s">
        <v>2/15/2017</v>
        <stp/>
        <stp>##V3_BDPV12</stp>
        <stp>CT10 Govt</stp>
        <stp>NXT_CPN_DT</stp>
        <stp>[NYIF_Govt_Bonds_2.xlsx]T-Note!R10C2</stp>
        <tr r="B10" s="25"/>
      </tp>
      <tp>
        <v>0.33576781850067344</v>
        <stp/>
        <stp>##V3_BDPV12</stp>
        <stp>CB3 Govt</stp>
        <stp>YLD_YTM_ASK</stp>
        <stp>[NYIF_Govt_Bonds_2.xlsx]US T_Bill Short!R15C9</stp>
        <tr r="I15" s="15"/>
      </tp>
      <tp>
        <v>0.55981864027387895</v>
        <stp/>
        <stp>##V3_BDPV12</stp>
        <stp>CB12 Govt</stp>
        <stp>YLD_SEMI_ANNUAL_ASK</stp>
        <stp>[NYIF_Govt_Bonds_2.xlsx]Sheet1!R13C2</stp>
        <tr r="B13" s="22"/>
      </tp>
      <tp>
        <v>0.34085932617700831</v>
        <stp/>
        <stp>##V3_BDPV12</stp>
        <stp>CB3 Govt</stp>
        <stp>YLD_YTM_BID</stp>
        <stp>[NYIF_Govt_Bonds_2.xlsx]US T_Bill Short!R15C7</stp>
        <tr r="G15" s="15"/>
      </tp>
      <tp>
        <v>0.33831355694588022</v>
        <stp/>
        <stp>##V3_BDPV12</stp>
        <stp>CB3 Govt</stp>
        <stp>YLD_YTM_MID</stp>
        <stp>[NYIF_Govt_Bonds_2.xlsx]US T_Bill Short!R15C8</stp>
        <tr r="H15" s="15"/>
      </tp>
      <tp>
        <v>2</v>
        <stp/>
        <stp>##V3_BDPV12</stp>
        <stp>CB12 Govt</stp>
        <stp>PCS_QUOTE_TYP</stp>
        <stp>[NYIF_Govt_Bonds_2.xlsx]US T_Bill Long!R10C3</stp>
        <tr r="C10" s="23"/>
      </tp>
      <tp>
        <v>0.55538953937135394</v>
        <stp/>
        <stp>##V3_BDPV12</stp>
        <stp>CB12 Govt</stp>
        <stp>YLD_SPL_MID</stp>
        <stp>[NYIF_Govt_Bonds_2.xlsx]Sheet1!R15C2</stp>
        <tr r="B15" s="22"/>
      </tp>
      <tp>
        <v>1.6749394</v>
        <stp/>
        <stp>##V3_BDPV12</stp>
        <stp>CT10 Govt</stp>
        <stp>YLD_YTM_ASK</stp>
        <stp>[NYIF_Govt_Bonds_2.xlsx]T-Note!R19C2</stp>
        <tr r="B19" s="25"/>
      </tp>
      <tp>
        <v>0.55791581471679219</v>
        <stp/>
        <stp>##V3_BDPV12</stp>
        <stp>CB12 Govt</stp>
        <stp>YLD_SPL_BID</stp>
        <stp>[NYIF_Govt_Bonds_2.xlsx]Sheet1!R14C2</stp>
        <tr r="B14" s="22"/>
      </tp>
      <tp>
        <v>1.5</v>
        <stp/>
        <stp>##V3_BDPV12</stp>
        <stp>CT10 Govt</stp>
        <stp>CPN</stp>
        <stp>[NYIF_Govt_Bonds_2.xlsx]T-Note!R8C2</stp>
        <tr r="B8" s="25"/>
      </tp>
      <tp>
        <v>0.56316392350395095</v>
        <stp/>
        <stp>##V3_BDPV12</stp>
        <stp>CB12 Govt</stp>
        <stp>YLD_ANNUAL_MID</stp>
        <stp>[NYIF_Govt_Bonds_2.xlsx]Sheet1!R3C2</stp>
        <tr r="B3" s="22"/>
      </tp>
      <tp>
        <v>0.56492797915247939</v>
        <stp/>
        <stp>##V3_BDPV12</stp>
        <stp>CB12 Govt</stp>
        <stp>YLD_YTM_BID</stp>
        <stp>[NYIF_Govt_Bonds_2.xlsx]Sheet1!R8C2</stp>
        <tr r="B8" s="22"/>
      </tp>
      <tp>
        <v>0.55981864027387895</v>
        <stp/>
        <stp>##V3_BDPV12</stp>
        <stp>CB12 Govt</stp>
        <stp>YLD_YTM_ASK</stp>
        <stp>[NYIF_Govt_Bonds_2.xlsx]Sheet1!R10C2</stp>
        <tr r="B10" s="22"/>
      </tp>
      <tp>
        <v>0.55286338359050369</v>
        <stp/>
        <stp>##V3_BDPV12</stp>
        <stp>CB12 Govt</stp>
        <stp>YLD_SPL_ASK</stp>
        <stp>[NYIF_Govt_Bonds_2.xlsx]Sheet1!R16C2</stp>
        <tr r="B16" s="22"/>
      </tp>
      <tp>
        <v>0.56060213254884861</v>
        <stp/>
        <stp>##V3_BDPV12</stp>
        <stp>CB12 Govt</stp>
        <stp>YLD_ANNUAL_ASK</stp>
        <stp>[NYIF_Govt_Bonds_2.xlsx]Sheet1!R4C2</stp>
        <tr r="B4" s="22"/>
      </tp>
      <tp t="s">
        <v>2/15/2017</v>
        <stp/>
        <stp>##V3_BDPV12</stp>
        <stp>CT10 Govt</stp>
        <stp>FIRST_CPN_DT</stp>
        <stp>[NYIF_Govt_Bonds_2.xlsx]T-Note!R9C2</stp>
        <tr r="B9" s="25"/>
      </tp>
      <tp t="s">
        <v>8/15/2016</v>
        <stp/>
        <stp>##V3_BDPV12</stp>
        <stp>CT10 Govt</stp>
        <stp>PREV_CPN_DT</stp>
        <stp>[NYIF_Govt_Bonds_2.xlsx]T-Note!R11C2</stp>
        <tr r="B11" s="25"/>
      </tp>
      <tp>
        <v>0.56237326428299717</v>
        <stp/>
        <stp>##V3_BDPV12</stp>
        <stp>CB12 Govt</stp>
        <stp>YLD_YTM_MID</stp>
        <stp>[NYIF_Govt_Bonds_2.xlsx]Sheet1!R9C2</stp>
        <tr r="B9" s="22"/>
      </tp>
      <tp>
        <v>0.56237326428299717</v>
        <stp/>
        <stp>##V3_BDPV12</stp>
        <stp>CB12 Govt</stp>
        <stp>YLD_SEMI_ANNUAL_MID</stp>
        <stp>[NYIF_Govt_Bonds_2.xlsx]Sheet1!R12C2</stp>
        <tr r="B12" s="22"/>
      </tp>
      <tp>
        <v>0.56572583820653222</v>
        <stp/>
        <stp>##V3_BDPV12</stp>
        <stp>CB12 Govt</stp>
        <stp>YLD_ANNUAL_BID</stp>
        <stp>[NYIF_Govt_Bonds_2.xlsx]Sheet1!R2C2</stp>
        <tr r="B2" s="22"/>
      </tp>
      <tp>
        <v>0.55981864027387895</v>
        <stp/>
        <stp>##V3_BDPV12</stp>
        <stp>CB12 Govt</stp>
        <stp>YLD_YTM_ASK</stp>
        <stp>[NYIF_Govt_Bonds_2.xlsx]US T_Bill Long!R15C9</stp>
        <tr r="I15" s="23"/>
      </tp>
      <tp>
        <v>0.56492797915247939</v>
        <stp/>
        <stp>##V3_BDPV12</stp>
        <stp>CB12 Govt</stp>
        <stp>YLD_SEMI_ANNUAL_BID</stp>
        <stp>[NYIF_Govt_Bonds_2.xlsx]Sheet1!R11C2</stp>
        <tr r="B11" s="22"/>
      </tp>
      <tp>
        <v>1.1282434587354623E-3</v>
        <stp/>
        <stp>##V3_BDPV12</stp>
        <stp>CB3 Govt</stp>
        <stp>CNVX_BID</stp>
        <stp>[NYIF_Govt_Bonds_2.xlsx]US T_Bill Short!R31C13</stp>
        <tr r="M31" s="15"/>
      </tp>
      <tp>
        <v>1.128270774852857E-3</v>
        <stp/>
        <stp>##V3_BDPV12</stp>
        <stp>CB3 Govt</stp>
        <stp>CNVX_ASK</stp>
        <stp>[NYIF_Govt_Bonds_2.xlsx]US T_Bill Short!R31C15</stp>
        <tr r="O31" s="15"/>
      </tp>
      <tp>
        <v>1.1282571168767434E-3</v>
        <stp/>
        <stp>##V3_BDPV12</stp>
        <stp>CB3 Govt</stp>
        <stp>CNVX_MID</stp>
        <stp>[NYIF_Govt_Bonds_2.xlsx]US T_Bill Short!R31C14</stp>
        <tr r="N31" s="15"/>
      </tp>
      <tp>
        <v>0.33831355694592508</v>
        <stp/>
        <stp>##V3_BDPV12</stp>
        <stp>CB3 Govt</stp>
        <stp>GOVT_EQV_YLD_MID</stp>
        <stp>[NYIF_Govt_Bonds_2.xlsx]US T_Bill Short!R15C11</stp>
        <tr r="K15" s="15"/>
      </tp>
      <tp>
        <v>0.34085932617696346</v>
        <stp/>
        <stp>##V3_BDPV12</stp>
        <stp>CB3 Govt</stp>
        <stp>GOVT_EQV_YLD_BID</stp>
        <stp>[NYIF_Govt_Bonds_2.xlsx]US T_Bill Short!R15C10</stp>
        <tr r="J15" s="15"/>
      </tp>
      <tp>
        <v>0.33576781850072951</v>
        <stp/>
        <stp>##V3_BDPV12</stp>
        <stp>CB3 Govt</stp>
        <stp>GOVT_EQV_YLD_ASK</stp>
        <stp>[NYIF_Govt_Bonds_2.xlsx]US T_Bill Short!R15C12</stp>
        <tr r="L15" s="15"/>
      </tp>
      <tp>
        <v>2</v>
        <stp/>
        <stp>##V3_BDPV12</stp>
        <stp>CB3 Govt</stp>
        <stp>PCS_QUOTE_TYP</stp>
        <stp>[NYIF_Govt_Bonds_2.xlsx]US T_Bill Short!R10C3</stp>
        <tr r="C10" s="15"/>
      </tp>
      <tp>
        <v>0.55286338359050369</v>
        <stp/>
        <stp>##V3_BDPV12</stp>
        <stp>CB12 Govt</stp>
        <stp>YLD_SPL_ASK</stp>
        <stp>[NYIF_Govt_Bonds_2.xlsx]US T_Bill Long!R5C12</stp>
        <tr r="L5" s="23"/>
      </tp>
      <tp>
        <v>0.55951980000000001</v>
        <stp/>
        <stp>##V3_BDPV12</stp>
        <stp>CB12 Govt</stp>
        <stp>GOVT_EQV_YLD_ASK</stp>
        <stp>[NYIF_Govt_Bonds_2.xlsx]US T_Bill Long!R15C12</stp>
        <tr r="L15" s="23"/>
      </tp>
      <tp>
        <v>0.33026342803344927</v>
        <stp/>
        <stp>##V3_BDPV12</stp>
        <stp>CB3 Govt</stp>
        <stp>YLD_SPL_ASK</stp>
        <stp>[NYIF_Govt_Bonds_2.xlsx]US T_Bill Short!R5C12</stp>
        <tr r="L5" s="15"/>
      </tp>
      <tp>
        <v>1.2896827965515952E-2</v>
        <stp/>
        <stp>##V3_BDPV12</stp>
        <stp>CB12 Govt</stp>
        <stp>CNVX_ASK</stp>
        <stp>[NYIF_Govt_Bonds_2.xlsx]US T_Bill Long!R31C15</stp>
        <tr r="O31" s="23"/>
      </tp>
      <tp>
        <v>0.55538953937135394</v>
        <stp/>
        <stp>##V3_BDPV12</stp>
        <stp>CB12 Govt</stp>
        <stp>YLD_SPL_MID</stp>
        <stp>[NYIF_Govt_Bonds_2.xlsx]US T_Bill Long!R5C11</stp>
        <tr r="K5" s="23"/>
      </tp>
      <tp>
        <v>0.55791581471679219</v>
        <stp/>
        <stp>##V3_BDPV12</stp>
        <stp>CB12 Govt</stp>
        <stp>YLD_SPL_BID</stp>
        <stp>[NYIF_Govt_Bonds_2.xlsx]US T_Bill Long!R5C10</stp>
        <tr r="J5" s="23"/>
      </tp>
      <tp>
        <v>1.2896520331855911E-2</v>
        <stp/>
        <stp>##V3_BDPV12</stp>
        <stp>CB12 Govt</stp>
        <stp>CNVX_MID</stp>
        <stp>[NYIF_Govt_Bonds_2.xlsx]US T_Bill Long!R31C14</stp>
        <tr r="N31" s="23"/>
      </tp>
      <tp>
        <v>1.2896212969345655E-2</v>
        <stp/>
        <stp>##V3_BDPV12</stp>
        <stp>CB12 Govt</stp>
        <stp>CNVX_BID</stp>
        <stp>[NYIF_Govt_Bonds_2.xlsx]US T_Bill Long!R31C13</stp>
        <tr r="M31" s="23"/>
      </tp>
      <tp t="s">
        <v>8/18/2016</v>
        <stp/>
        <stp>##V3_BDPV12</stp>
        <stp>CB12 Govt</stp>
        <stp>ISSUE_DT</stp>
        <stp>[NYIF_Govt_Bonds_2.xlsx]US T_Bill Long!R5C3</stp>
        <tr r="C5" s="23"/>
      </tp>
      <tp t="s">
        <v>9/12/2016</v>
        <stp/>
        <stp>##V3_BDPV12</stp>
        <stp>CB12 Govt</stp>
        <stp>SETTLE_DT</stp>
        <stp>[NYIF_Govt_Bonds_2.xlsx]US T_Bill Long!R6C3</stp>
        <tr r="C6" s="23"/>
      </tp>
      <tp t="s">
        <v>8/17/2017</v>
        <stp/>
        <stp>##V3_BDPV12</stp>
        <stp>CB12 Govt</stp>
        <stp>MATURITY</stp>
        <stp>[NYIF_Govt_Bonds_2.xlsx]US T_Bill Long!R7C3</stp>
        <tr r="C7" s="23"/>
      </tp>
      <tp>
        <v>0.33527146837082783</v>
        <stp/>
        <stp>##V3_BDPV12</stp>
        <stp>CB3 Govt</stp>
        <stp>YLD_SPL_BID</stp>
        <stp>[NYIF_Govt_Bonds_2.xlsx]US T_Bill Short!R5C10</stp>
        <tr r="J5" s="15"/>
      </tp>
      <tp>
        <v>0.33276743306152151</v>
        <stp/>
        <stp>##V3_BDPV12</stp>
        <stp>CB3 Govt</stp>
        <stp>YLD_SPL_MID</stp>
        <stp>[NYIF_Govt_Bonds_2.xlsx]US T_Bill Short!R5C11</stp>
        <tr r="K5" s="15"/>
      </tp>
      <tp>
        <v>0.56462690000000004</v>
        <stp/>
        <stp>##V3_BDPV12</stp>
        <stp>CB12 Govt</stp>
        <stp>GOVT_EQV_YLD_BID</stp>
        <stp>[NYIF_Govt_Bonds_2.xlsx]US T_Bill Long!R15C10</stp>
        <tr r="J15" s="23"/>
      </tp>
      <tp>
        <v>0.5620733</v>
        <stp/>
        <stp>##V3_BDPV12</stp>
        <stp>CB12 Govt</stp>
        <stp>GOVT_EQV_YLD_MID</stp>
        <stp>[NYIF_Govt_Bonds_2.xlsx]US T_Bill Long!R15C11</stp>
        <tr r="K15" s="23"/>
      </tp>
      <tp>
        <v>0.5620733</v>
        <stp/>
        <stp>##V3_BDPV12</stp>
        <stp>CB12 Govt</stp>
        <stp>GOVT_EQV_YLD_MID</stp>
        <stp>[NYIF_Govt_Bonds_2.xlsx]Sheet1!R6C2</stp>
        <tr r="B6" s="22"/>
      </tp>
      <tp>
        <v>0.1141304347826087</v>
        <stp/>
        <stp>##V3_BDPV12</stp>
        <stp>CT10 Govt</stp>
        <stp>INT_ACC</stp>
        <stp>[NYIF_Govt_Bonds_2.xlsx]T-Note!R15C2</stp>
        <tr r="B15" s="25"/>
      </tp>
      <tp t="s">
        <v>12/10/2015</v>
        <stp/>
        <stp>##V3_BDPV12</stp>
        <stp>CB3 Govt</stp>
        <stp>ISSUE_DT</stp>
        <stp>[NYIF_Govt_Bonds_2.xlsx]US T_Bill Short!R5C3</stp>
        <tr r="C5" s="15"/>
      </tp>
      <tp>
        <v>0.55951980000000001</v>
        <stp/>
        <stp>##V3_BDPV12</stp>
        <stp>CB12 Govt</stp>
        <stp>GOVT_EQV_YLD_ASK</stp>
        <stp>[NYIF_Govt_Bonds_2.xlsx]Sheet1!R7C2</stp>
        <tr r="B7" s="22"/>
      </tp>
      <tp>
        <v>98.40625</v>
        <stp/>
        <stp>##V3_BDPV12</stp>
        <stp>CT10 Govt</stp>
        <stp>PX_ASK</stp>
        <stp>[NYIF_Govt_Bonds_2.xlsx]T-Note!R17C2</stp>
        <tr r="B17" s="25"/>
      </tp>
      <tp>
        <v>0.56462690000000004</v>
        <stp/>
        <stp>##V3_BDPV12</stp>
        <stp>CB12 Govt</stp>
        <stp>GOVT_EQV_YLD_BID</stp>
        <stp>[NYIF_Govt_Bonds_2.xlsx]Sheet1!R5C2</stp>
        <tr r="B5" s="22"/>
      </tp>
      <tp>
        <v>0.55500000715255737</v>
        <stp/>
        <stp>##V3_BDPV12</stp>
        <stp>CB12 Govt</stp>
        <stp>PX_BID</stp>
        <stp>[NYIF_Govt_Bonds_2.xlsx]US T_Bill Long!R12C1</stp>
        <tr r="A12" s="23"/>
      </tp>
      <tp>
        <v>0.55250000953674316</v>
        <stp/>
        <stp>##V3_BDPV12</stp>
        <stp>CB12 Govt</stp>
        <stp>PX_MID</stp>
        <stp>[NYIF_Govt_Bonds_2.xlsx]US T_Bill Long!R12C2</stp>
        <tr r="B12" s="23"/>
      </tp>
      <tp>
        <v>0.92876712328767119</v>
        <stp/>
        <stp>##V3_BDPV12</stp>
        <stp>CB12 Govt</stp>
        <stp>DUR_MID</stp>
        <stp>[NYIF_Govt_Bonds_2.xlsx]US T_Bill Long!R31C8</stp>
        <tr r="H31" s="23"/>
      </tp>
      <tp>
        <v>0.92876712328767119</v>
        <stp/>
        <stp>##V3_BDPV12</stp>
        <stp>CB12 Govt</stp>
        <stp>DUR_BID</stp>
        <stp>[NYIF_Govt_Bonds_2.xlsx]US T_Bill Long!R31C7</stp>
        <tr r="G31" s="23"/>
      </tp>
      <tp t="s">
        <v>9/12/2016</v>
        <stp/>
        <stp>##V3_BDPV12</stp>
        <stp>CB3 Govt</stp>
        <stp>SETTLE_DT</stp>
        <stp>[NYIF_Govt_Bonds_2.xlsx]US T_Bill Short!R6C3</stp>
        <tr r="C6" s="15"/>
      </tp>
      <tp>
        <v>0.23751391220358856</v>
        <stp/>
        <stp>##V3_BDPV12</stp>
        <stp>CB3 Govt</stp>
        <stp>DUR_ADJ_MID</stp>
        <stp>[NYIF_Govt_Bonds_2.xlsx]US T_Bill Short!R31C11</stp>
        <tr r="K31" s="15"/>
      </tp>
      <tp>
        <v>0.23751534833562629</v>
        <stp/>
        <stp>##V3_BDPV12</stp>
        <stp>CB3 Govt</stp>
        <stp>DUR_ADJ_ASK</stp>
        <stp>[NYIF_Govt_Bonds_2.xlsx]US T_Bill Short!R31C12</stp>
        <tr r="L31" s="15"/>
      </tp>
      <tp>
        <v>0.23751247607053924</v>
        <stp/>
        <stp>##V3_BDPV12</stp>
        <stp>CB3 Govt</stp>
        <stp>DUR_ADJ_BID</stp>
        <stp>[NYIF_Govt_Bonds_2.xlsx]US T_Bill Short!R31C10</stp>
        <tr r="J31" s="15"/>
      </tp>
      <tp t="s">
        <v>8/15/2016</v>
        <stp/>
        <stp>##V3_BDPV12</stp>
        <stp>CT10 Govt</stp>
        <stp>ISSUE_DT</stp>
        <stp>[NYIF_Govt_Bonds_2.xlsx]T-Note!R5C2</stp>
        <tr r="B5" s="25"/>
      </tp>
      <tp t="s">
        <v>12/8/2016</v>
        <stp/>
        <stp>##V3_BDPV12</stp>
        <stp>CB3 Govt</stp>
        <stp>MATURITY</stp>
        <stp>[NYIF_Govt_Bonds_2.xlsx]US T_Bill Short!R7C3</stp>
        <tr r="C7" s="15"/>
      </tp>
      <tp t="s">
        <v>9/12/2016</v>
        <stp/>
        <stp>##V3_BDPV12</stp>
        <stp>CT10 Govt</stp>
        <stp>SETTLE_DT</stp>
        <stp>[NYIF_Govt_Bonds_2.xlsx]T-Note!R6C2</stp>
        <tr r="B6" s="25"/>
      </tp>
      <tp>
        <v>0.55000001192092896</v>
        <stp/>
        <stp>##V3_BDPV12</stp>
        <stp>CB12 Govt</stp>
        <stp>PX_ASK</stp>
        <stp>[NYIF_Govt_Bonds_2.xlsx]US T_Bill Long!R12C3</stp>
        <tr r="C12" s="23"/>
      </tp>
      <tp>
        <v>0.33500003814697266</v>
        <stp/>
        <stp>##V3_BDPV12</stp>
        <stp>CB3 Govt</stp>
        <stp>PX_BID</stp>
        <stp>[NYIF_Govt_Bonds_2.xlsx]US T_Bill Short!R12C1</stp>
        <tr r="A12" s="15"/>
      </tp>
      <tp>
        <v>0.33250004053115845</v>
        <stp/>
        <stp>##V3_BDPV12</stp>
        <stp>CB3 Govt</stp>
        <stp>PX_MID</stp>
        <stp>[NYIF_Govt_Bonds_2.xlsx]US T_Bill Short!R12C2</stp>
        <tr r="B12" s="15"/>
      </tp>
      <tp>
        <v>0.23770491803278687</v>
        <stp/>
        <stp>##V3_BDPV12</stp>
        <stp>CB3 Govt</stp>
        <stp>DUR_BID</stp>
        <stp>[NYIF_Govt_Bonds_2.xlsx]US T_Bill Short!R31C7</stp>
        <tr r="G31" s="15"/>
      </tp>
      <tp>
        <v>0.23770491803278687</v>
        <stp/>
        <stp>##V3_BDPV12</stp>
        <stp>CB3 Govt</stp>
        <stp>DUR_MID</stp>
        <stp>[NYIF_Govt_Bonds_2.xlsx]US T_Bill Short!R31C8</stp>
        <tr r="H31" s="15"/>
      </tp>
      <tp>
        <v>0.92876712328767119</v>
        <stp/>
        <stp>##V3_BDPV12</stp>
        <stp>CB12 Govt</stp>
        <stp>DUR_ASK</stp>
        <stp>[NYIF_Govt_Bonds_2.xlsx]US T_Bill Long!R31C9</stp>
        <tr r="I31" s="23"/>
      </tp>
      <tp t="s">
        <v>8/15/2026</v>
        <stp/>
        <stp>##V3_BDPV12</stp>
        <stp>CT10 Govt</stp>
        <stp>MATURITY</stp>
        <stp>[NYIF_Govt_Bonds_2.xlsx]T-Note!R7C2</stp>
        <tr r="B7" s="25"/>
      </tp>
      <tp>
        <v>0.33000004291534424</v>
        <stp/>
        <stp>##V3_BDPV12</stp>
        <stp>CB3 Govt</stp>
        <stp>PX_ASK</stp>
        <stp>[NYIF_Govt_Bonds_2.xlsx]US T_Bill Short!R12C3</stp>
        <tr r="C12" s="15"/>
      </tp>
      <tp>
        <v>0.23770491803278687</v>
        <stp/>
        <stp>##V3_BDPV12</stp>
        <stp>CB3 Govt</stp>
        <stp>DUR_ASK</stp>
        <stp>[NYIF_Govt_Bonds_2.xlsx]US T_Bill Short!R31C9</stp>
        <tr r="I31" s="1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</a:t>
            </a:r>
            <a:r>
              <a:rPr lang="en-US" sz="1200"/>
              <a:t>Dirty</a:t>
            </a:r>
            <a:r>
              <a:rPr lang="en-US" sz="1200" baseline="0"/>
              <a:t> vs Clean Price</a:t>
            </a:r>
            <a:endParaRPr lang="en-US" sz="1200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1252405949256"/>
          <c:y val="0.14330095101748599"/>
          <c:w val="0.72047637795275599"/>
          <c:h val="0.74825033234482097"/>
        </c:manualLayout>
      </c:layout>
      <c:scatterChart>
        <c:scatterStyle val="lineMarker"/>
        <c:varyColors val="0"/>
        <c:ser>
          <c:idx val="0"/>
          <c:order val="0"/>
          <c:tx>
            <c:v>Dirty</c:v>
          </c:tx>
          <c:xVal>
            <c:numRef>
              <c:f>'Ac Int'!$A$7:$A$18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0.51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xVal>
          <c:yVal>
            <c:numRef>
              <c:f>'Ac Int'!$E$7:$E$18</c:f>
              <c:numCache>
                <c:formatCode>0.0000</c:formatCode>
                <c:ptCount val="12"/>
                <c:pt idx="0">
                  <c:v>1.0000000000000002</c:v>
                </c:pt>
                <c:pt idx="1">
                  <c:v>1.0456395525912734</c:v>
                </c:pt>
                <c:pt idx="2">
                  <c:v>1.0933620739432781</c:v>
                </c:pt>
                <c:pt idx="3">
                  <c:v>1.1432626298183159</c:v>
                </c:pt>
                <c:pt idx="4">
                  <c:v>1.1954406247375462</c:v>
                </c:pt>
                <c:pt idx="5">
                  <c:v>1.25</c:v>
                </c:pt>
                <c:pt idx="6">
                  <c:v>1.0044728444663891</c:v>
                </c:pt>
                <c:pt idx="7">
                  <c:v>1.0456395525912734</c:v>
                </c:pt>
                <c:pt idx="8">
                  <c:v>1.0933620739432781</c:v>
                </c:pt>
                <c:pt idx="9">
                  <c:v>1.1432626298183159</c:v>
                </c:pt>
                <c:pt idx="10">
                  <c:v>1.1954406247375462</c:v>
                </c:pt>
                <c:pt idx="11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0-4405-A530-B19997F6BC9D}"/>
            </c:ext>
          </c:extLst>
        </c:ser>
        <c:ser>
          <c:idx val="1"/>
          <c:order val="1"/>
          <c:tx>
            <c:v>Clean</c:v>
          </c:tx>
          <c:marker>
            <c:symbol val="square"/>
            <c:size val="5"/>
          </c:marker>
          <c:xVal>
            <c:numRef>
              <c:f>'Ac Int'!$A$7:$A$18</c:f>
              <c:numCache>
                <c:formatCode>0.0</c:formatCode>
                <c:ptCount val="12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0.51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xVal>
          <c:yVal>
            <c:numRef>
              <c:f>'Ac Int'!$F$7:$F$18</c:f>
              <c:numCache>
                <c:formatCode>0.0000</c:formatCode>
                <c:ptCount val="12"/>
                <c:pt idx="0">
                  <c:v>1.0000000000000002</c:v>
                </c:pt>
                <c:pt idx="1">
                  <c:v>0.99563955259127335</c:v>
                </c:pt>
                <c:pt idx="2">
                  <c:v>0.99336207394327813</c:v>
                </c:pt>
                <c:pt idx="3">
                  <c:v>0.99326262981831592</c:v>
                </c:pt>
                <c:pt idx="4">
                  <c:v>0.99544062473754624</c:v>
                </c:pt>
                <c:pt idx="5">
                  <c:v>1</c:v>
                </c:pt>
                <c:pt idx="6">
                  <c:v>0.99947284446638907</c:v>
                </c:pt>
                <c:pt idx="7">
                  <c:v>0.99563955259127335</c:v>
                </c:pt>
                <c:pt idx="8">
                  <c:v>0.99336207394327813</c:v>
                </c:pt>
                <c:pt idx="9">
                  <c:v>0.99326262981831592</c:v>
                </c:pt>
                <c:pt idx="10">
                  <c:v>0.99544062473754624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B0-4405-A530-B19997F6B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946560"/>
        <c:axId val="364948096"/>
      </c:scatterChart>
      <c:valAx>
        <c:axId val="364946560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364948096"/>
        <c:crosses val="autoZero"/>
        <c:crossBetween val="midCat"/>
      </c:valAx>
      <c:valAx>
        <c:axId val="364948096"/>
        <c:scaling>
          <c:orientation val="minMax"/>
          <c:min val="0.99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364946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Dirty</a:t>
            </a:r>
            <a:r>
              <a:rPr lang="en-US" sz="1200" baseline="0"/>
              <a:t> vs Clean Price</a:t>
            </a:r>
            <a:endParaRPr lang="en-US" sz="1200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251691055527"/>
          <c:y val="0.138450952257651"/>
          <c:w val="0.756841249863205"/>
          <c:h val="0.77778756922161296"/>
        </c:manualLayout>
      </c:layout>
      <c:scatterChart>
        <c:scatterStyle val="lineMarker"/>
        <c:varyColors val="0"/>
        <c:ser>
          <c:idx val="0"/>
          <c:order val="0"/>
          <c:tx>
            <c:v>Dirty</c:v>
          </c:tx>
          <c:xVal>
            <c:numRef>
              <c:f>'Ac Int'!$K$19:$K$32</c:f>
              <c:numCache>
                <c:formatCode>m/d/yyyy</c:formatCode>
                <c:ptCount val="14"/>
                <c:pt idx="0">
                  <c:v>39583</c:v>
                </c:pt>
                <c:pt idx="1">
                  <c:v>39614</c:v>
                </c:pt>
                <c:pt idx="2">
                  <c:v>39644</c:v>
                </c:pt>
                <c:pt idx="3">
                  <c:v>39675</c:v>
                </c:pt>
                <c:pt idx="4">
                  <c:v>39706</c:v>
                </c:pt>
                <c:pt idx="5">
                  <c:v>39736</c:v>
                </c:pt>
                <c:pt idx="6">
                  <c:v>39767</c:v>
                </c:pt>
                <c:pt idx="7">
                  <c:v>39768</c:v>
                </c:pt>
                <c:pt idx="8">
                  <c:v>39797</c:v>
                </c:pt>
                <c:pt idx="9">
                  <c:v>39828</c:v>
                </c:pt>
                <c:pt idx="10">
                  <c:v>39859</c:v>
                </c:pt>
                <c:pt idx="11">
                  <c:v>39887</c:v>
                </c:pt>
                <c:pt idx="12">
                  <c:v>39918</c:v>
                </c:pt>
                <c:pt idx="13">
                  <c:v>39948</c:v>
                </c:pt>
              </c:numCache>
            </c:numRef>
          </c:xVal>
          <c:yVal>
            <c:numRef>
              <c:f>'Ac Int'!$O$19:$O$32</c:f>
              <c:numCache>
                <c:formatCode>0.0000</c:formatCode>
                <c:ptCount val="14"/>
                <c:pt idx="0">
                  <c:v>100.00000000000023</c:v>
                </c:pt>
                <c:pt idx="1">
                  <c:v>100.32382782691272</c:v>
                </c:pt>
                <c:pt idx="2">
                  <c:v>100.63820800950255</c:v>
                </c:pt>
                <c:pt idx="3">
                  <c:v>100.96410253154347</c:v>
                </c:pt>
                <c:pt idx="4">
                  <c:v>101.29105239073317</c:v>
                </c:pt>
                <c:pt idx="5">
                  <c:v>101.60846352062204</c:v>
                </c:pt>
                <c:pt idx="6">
                  <c:v>101.9375000000002</c:v>
                </c:pt>
                <c:pt idx="7">
                  <c:v>100.01060260313754</c:v>
                </c:pt>
                <c:pt idx="8">
                  <c:v>100.31856758446898</c:v>
                </c:pt>
                <c:pt idx="9">
                  <c:v>100.64882028564824</c:v>
                </c:pt>
                <c:pt idx="10">
                  <c:v>100.98016019181119</c:v>
                </c:pt>
                <c:pt idx="11">
                  <c:v>101.28037239849871</c:v>
                </c:pt>
                <c:pt idx="12">
                  <c:v>101.61379139925232</c:v>
                </c:pt>
                <c:pt idx="13">
                  <c:v>101.93750000000021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2E-4EB8-ADF5-04DF76C57593}"/>
            </c:ext>
          </c:extLst>
        </c:ser>
        <c:ser>
          <c:idx val="1"/>
          <c:order val="1"/>
          <c:tx>
            <c:strRef>
              <c:f>'Ac Int'!$N$18</c:f>
              <c:strCache>
                <c:ptCount val="1"/>
                <c:pt idx="0">
                  <c:v>Clean</c:v>
                </c:pt>
              </c:strCache>
            </c:strRef>
          </c:tx>
          <c:xVal>
            <c:numRef>
              <c:f>'Ac Int'!$K$19:$K$32</c:f>
              <c:numCache>
                <c:formatCode>m/d/yyyy</c:formatCode>
                <c:ptCount val="14"/>
                <c:pt idx="0">
                  <c:v>39583</c:v>
                </c:pt>
                <c:pt idx="1">
                  <c:v>39614</c:v>
                </c:pt>
                <c:pt idx="2">
                  <c:v>39644</c:v>
                </c:pt>
                <c:pt idx="3">
                  <c:v>39675</c:v>
                </c:pt>
                <c:pt idx="4">
                  <c:v>39706</c:v>
                </c:pt>
                <c:pt idx="5">
                  <c:v>39736</c:v>
                </c:pt>
                <c:pt idx="6">
                  <c:v>39767</c:v>
                </c:pt>
                <c:pt idx="7">
                  <c:v>39768</c:v>
                </c:pt>
                <c:pt idx="8">
                  <c:v>39797</c:v>
                </c:pt>
                <c:pt idx="9">
                  <c:v>39828</c:v>
                </c:pt>
                <c:pt idx="10">
                  <c:v>39859</c:v>
                </c:pt>
                <c:pt idx="11">
                  <c:v>39887</c:v>
                </c:pt>
                <c:pt idx="12">
                  <c:v>39918</c:v>
                </c:pt>
                <c:pt idx="13">
                  <c:v>39948</c:v>
                </c:pt>
              </c:numCache>
            </c:numRef>
          </c:xVal>
          <c:yVal>
            <c:numRef>
              <c:f>'Ac Int'!$N$19:$N$32</c:f>
              <c:numCache>
                <c:formatCode>0.0000</c:formatCode>
                <c:ptCount val="14"/>
                <c:pt idx="0">
                  <c:v>100.00000000000023</c:v>
                </c:pt>
                <c:pt idx="1">
                  <c:v>99.997401196477938</c:v>
                </c:pt>
                <c:pt idx="2">
                  <c:v>99.99588463993733</c:v>
                </c:pt>
                <c:pt idx="3">
                  <c:v>99.995352531543475</c:v>
                </c:pt>
                <c:pt idx="4">
                  <c:v>99.995875760298389</c:v>
                </c:pt>
                <c:pt idx="5">
                  <c:v>99.99739015105682</c:v>
                </c:pt>
                <c:pt idx="6">
                  <c:v>100.0000000000002</c:v>
                </c:pt>
                <c:pt idx="7">
                  <c:v>99.999898183248035</c:v>
                </c:pt>
                <c:pt idx="8">
                  <c:v>99.99743498778389</c:v>
                </c:pt>
                <c:pt idx="9">
                  <c:v>99.995850672388571</c:v>
                </c:pt>
                <c:pt idx="10">
                  <c:v>99.995353561976941</c:v>
                </c:pt>
                <c:pt idx="11">
                  <c:v>99.995842011758384</c:v>
                </c:pt>
                <c:pt idx="12">
                  <c:v>99.99742399593741</c:v>
                </c:pt>
                <c:pt idx="13">
                  <c:v>100.00000000000021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2E-4EB8-ADF5-04DF76C57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242496"/>
        <c:axId val="369244032"/>
      </c:scatterChart>
      <c:valAx>
        <c:axId val="369242496"/>
        <c:scaling>
          <c:orientation val="minMax"/>
          <c:max val="39948"/>
        </c:scaling>
        <c:delete val="0"/>
        <c:axPos val="b"/>
        <c:numFmt formatCode="m/d/yyyy" sourceLinked="1"/>
        <c:majorTickMark val="out"/>
        <c:minorTickMark val="none"/>
        <c:tickLblPos val="nextTo"/>
        <c:crossAx val="369244032"/>
        <c:crosses val="autoZero"/>
        <c:crossBetween val="midCat"/>
      </c:valAx>
      <c:valAx>
        <c:axId val="369244032"/>
        <c:scaling>
          <c:orientation val="minMax"/>
          <c:max val="102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369242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Acc</a:t>
            </a:r>
            <a:r>
              <a:rPr lang="en-US" sz="1400" baseline="0"/>
              <a:t> Int vs D Dirty </a:t>
            </a:r>
            <a:endParaRPr lang="en-US" sz="1400"/>
          </a:p>
        </c:rich>
      </c:tx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'Ac Int'!$D$6</c:f>
              <c:strCache>
                <c:ptCount val="1"/>
                <c:pt idx="0">
                  <c:v>Acc Int</c:v>
                </c:pt>
              </c:strCache>
            </c:strRef>
          </c:tx>
          <c:marker>
            <c:symbol val="none"/>
          </c:marker>
          <c:xVal>
            <c:numRef>
              <c:f>'Ac Int'!$A$7:$A$12</c:f>
              <c:numCache>
                <c:formatCode>0.0</c:formatCode>
                <c:ptCount val="6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'Ac Int'!$D$7:$D$12</c:f>
              <c:numCache>
                <c:formatCode>0.000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32-4CD9-BBFD-B0ABE0A0A54A}"/>
            </c:ext>
          </c:extLst>
        </c:ser>
        <c:ser>
          <c:idx val="1"/>
          <c:order val="1"/>
          <c:tx>
            <c:strRef>
              <c:f>'Ac Int'!$G$6</c:f>
              <c:strCache>
                <c:ptCount val="1"/>
                <c:pt idx="0">
                  <c:v>D Dirty</c:v>
                </c:pt>
              </c:strCache>
            </c:strRef>
          </c:tx>
          <c:marker>
            <c:symbol val="none"/>
          </c:marker>
          <c:xVal>
            <c:numRef>
              <c:f>'Ac Int'!$A$7:$A$12</c:f>
              <c:numCache>
                <c:formatCode>0.0</c:formatCode>
                <c:ptCount val="6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'Ac Int'!$G$7:$G$12</c:f>
              <c:numCache>
                <c:formatCode>0.0000</c:formatCode>
                <c:ptCount val="6"/>
                <c:pt idx="0">
                  <c:v>0</c:v>
                </c:pt>
                <c:pt idx="1">
                  <c:v>4.5639552591273169E-2</c:v>
                </c:pt>
                <c:pt idx="2">
                  <c:v>9.336207394327789E-2</c:v>
                </c:pt>
                <c:pt idx="3">
                  <c:v>0.14326262981831572</c:v>
                </c:pt>
                <c:pt idx="4">
                  <c:v>0.19544062473754598</c:v>
                </c:pt>
                <c:pt idx="5">
                  <c:v>0.24999999999999978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32-4CD9-BBFD-B0ABE0A0A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270144"/>
        <c:axId val="369288320"/>
      </c:scatterChart>
      <c:valAx>
        <c:axId val="369270144"/>
        <c:scaling>
          <c:orientation val="minMax"/>
          <c:max val="0.5"/>
        </c:scaling>
        <c:delete val="0"/>
        <c:axPos val="b"/>
        <c:numFmt formatCode="General" sourceLinked="1"/>
        <c:majorTickMark val="out"/>
        <c:minorTickMark val="none"/>
        <c:tickLblPos val="nextTo"/>
        <c:crossAx val="369288320"/>
        <c:crosses val="autoZero"/>
        <c:crossBetween val="midCat"/>
      </c:valAx>
      <c:valAx>
        <c:axId val="36928832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69270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881905</xdr:colOff>
      <xdr:row>20</xdr:row>
      <xdr:rowOff>9526</xdr:rowOff>
    </xdr:from>
    <xdr:to>
      <xdr:col>7</xdr:col>
      <xdr:colOff>38100</xdr:colOff>
      <xdr:row>46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179294</xdr:colOff>
      <xdr:row>16</xdr:row>
      <xdr:rowOff>57149</xdr:rowOff>
    </xdr:from>
    <xdr:to>
      <xdr:col>26</xdr:col>
      <xdr:colOff>22412</xdr:colOff>
      <xdr:row>32</xdr:row>
      <xdr:rowOff>89647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494179</xdr:colOff>
      <xdr:row>49</xdr:row>
      <xdr:rowOff>165286</xdr:rowOff>
    </xdr:from>
    <xdr:to>
      <xdr:col>7</xdr:col>
      <xdr:colOff>494179</xdr:colOff>
      <xdr:row>77</xdr:row>
      <xdr:rowOff>96932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L32"/>
  <sheetViews>
    <sheetView tabSelected="1" zoomScale="90" zoomScaleNormal="90" zoomScalePageLayoutView="85" workbookViewId="0">
      <selection activeCell="B4" sqref="B4"/>
    </sheetView>
  </sheetViews>
  <sheetFormatPr defaultColWidth="8.85546875" defaultRowHeight="15" x14ac:dyDescent="0.25"/>
  <cols>
    <col min="1" max="1" width="14.28515625" style="3" customWidth="1"/>
    <col min="2" max="2" width="19" style="3" customWidth="1"/>
    <col min="3" max="4" width="10.85546875" style="2" customWidth="1"/>
    <col min="5" max="5" width="8.85546875" style="3" bestFit="1" customWidth="1"/>
    <col min="6" max="6" width="9.42578125" style="3" customWidth="1"/>
    <col min="7" max="7" width="12.42578125" style="3" customWidth="1"/>
    <col min="8" max="8" width="16.42578125" style="3" bestFit="1" customWidth="1"/>
    <col min="9" max="9" width="16.140625" style="3" bestFit="1" customWidth="1"/>
    <col min="10" max="10" width="14" style="3" bestFit="1" customWidth="1"/>
    <col min="11" max="11" width="13" style="3" bestFit="1" customWidth="1"/>
    <col min="12" max="12" width="17.28515625" style="3" bestFit="1" customWidth="1"/>
    <col min="13" max="13" width="6" style="3" customWidth="1"/>
    <col min="14" max="16384" width="8.85546875" style="3"/>
  </cols>
  <sheetData>
    <row r="1" spans="1:12" x14ac:dyDescent="0.25">
      <c r="A1" s="1" t="s">
        <v>31</v>
      </c>
      <c r="B1" s="1" t="s">
        <v>78</v>
      </c>
    </row>
    <row r="2" spans="1:12" x14ac:dyDescent="0.25">
      <c r="A2" s="4"/>
    </row>
    <row r="3" spans="1:12" x14ac:dyDescent="0.25">
      <c r="A3" s="5" t="s">
        <v>30</v>
      </c>
      <c r="F3" s="2"/>
      <c r="G3" s="6" t="s">
        <v>33</v>
      </c>
      <c r="H3" s="7" t="s">
        <v>38</v>
      </c>
      <c r="I3" s="7" t="s">
        <v>39</v>
      </c>
      <c r="J3" s="7" t="s">
        <v>98</v>
      </c>
      <c r="K3" s="7" t="s">
        <v>41</v>
      </c>
      <c r="L3" s="7" t="s">
        <v>47</v>
      </c>
    </row>
    <row r="4" spans="1:12" x14ac:dyDescent="0.25">
      <c r="A4" s="3" t="s">
        <v>35</v>
      </c>
      <c r="B4" s="8"/>
      <c r="F4" s="9"/>
      <c r="G4" s="10"/>
      <c r="H4" s="10"/>
      <c r="I4" s="10"/>
      <c r="J4" s="10"/>
      <c r="K4" s="10"/>
      <c r="L4" s="10"/>
    </row>
    <row r="5" spans="1:12" x14ac:dyDescent="0.25">
      <c r="A5" s="3" t="s">
        <v>29</v>
      </c>
      <c r="B5" s="8">
        <v>37108</v>
      </c>
      <c r="F5" s="3" t="s">
        <v>24</v>
      </c>
      <c r="G5" s="11">
        <f>1-$C$22*B$10</f>
        <v>0.97769722222222222</v>
      </c>
      <c r="H5" s="12">
        <f>$B$10/(1-$B$10*$C$22)</f>
        <v>5.2981637691741648E-2</v>
      </c>
      <c r="I5" s="12">
        <f>($B$10*$C$24)/(1-$B$10*$C$22)</f>
        <v>5.3717493770793608E-2</v>
      </c>
      <c r="J5" s="12">
        <f>IF(C14&gt;182,(-$C$23+SQRT($C$23^2-(2*$C$23-1)*(1-1/G5)))/($C$23-0.5),(1/G5-1)/$C$23)</f>
        <v>5.371749377079342E-2</v>
      </c>
      <c r="K5" s="12">
        <f>IF($B$6&lt;EDATE($B$7,-6),(1/G5^(1/(1+($C$19/$C$18)))-1)*2,(1/G5-1)*(2*$C$17/$C$14))</f>
        <v>5.4159007418224589E-2</v>
      </c>
      <c r="L5" s="12">
        <f>IF($B$6&lt;EDATE($B$7,-6),(-C19-C17+SQRT((C19+C17)^2-4*C19*C17*(1-1/G5)))/(C19*C17/180),H5)</f>
        <v>5.2981637691741648E-2</v>
      </c>
    </row>
    <row r="6" spans="1:12" x14ac:dyDescent="0.25">
      <c r="A6" s="13" t="s">
        <v>2</v>
      </c>
      <c r="B6" s="8">
        <v>37109</v>
      </c>
      <c r="G6" s="11">
        <f>1/(1+J5*C23)</f>
        <v>0.97769722222222233</v>
      </c>
      <c r="H6" s="12">
        <f>(1/G5-1)*(360/$C$14)</f>
        <v>5.2981637691741454E-2</v>
      </c>
      <c r="I6" s="12">
        <f>(1/G5-1)*(1/$C$23)</f>
        <v>5.371749377079342E-2</v>
      </c>
      <c r="J6" s="12" t="s">
        <v>42</v>
      </c>
      <c r="K6" s="12"/>
      <c r="L6" s="12"/>
    </row>
    <row r="7" spans="1:12" x14ac:dyDescent="0.25">
      <c r="A7" s="13" t="s">
        <v>6</v>
      </c>
      <c r="B7" s="4">
        <v>37264</v>
      </c>
      <c r="G7" s="11"/>
      <c r="H7" s="12"/>
      <c r="I7" s="12"/>
      <c r="J7" s="12"/>
      <c r="K7" s="12"/>
      <c r="L7" s="12"/>
    </row>
    <row r="8" spans="1:12" x14ac:dyDescent="0.25">
      <c r="B8" s="4"/>
      <c r="F8" s="3" t="s">
        <v>25</v>
      </c>
      <c r="G8" s="11">
        <f>TBILLPRICE($B$6,$B$7,B$10)</f>
        <v>97.769722222222228</v>
      </c>
      <c r="H8" s="12">
        <f>TBILLYIELD($B$6,$B$7,G8)</f>
        <v>5.2981637691741509E-2</v>
      </c>
      <c r="I8" s="12"/>
      <c r="J8" s="12">
        <f>TBILLEQ($B$6,$B$7,B10)</f>
        <v>5.3717493770793615E-2</v>
      </c>
      <c r="K8" s="14"/>
      <c r="L8" s="14"/>
    </row>
    <row r="9" spans="1:12" x14ac:dyDescent="0.25">
      <c r="A9" s="5" t="s">
        <v>32</v>
      </c>
    </row>
    <row r="10" spans="1:12" x14ac:dyDescent="0.25">
      <c r="A10" s="3" t="s">
        <v>43</v>
      </c>
      <c r="B10" s="15">
        <v>5.1799999999999999E-2</v>
      </c>
    </row>
    <row r="11" spans="1:12" x14ac:dyDescent="0.25">
      <c r="G11" s="6" t="s">
        <v>50</v>
      </c>
      <c r="H11" s="6" t="s">
        <v>51</v>
      </c>
      <c r="I11" s="6" t="s">
        <v>49</v>
      </c>
      <c r="J11" s="7" t="s">
        <v>48</v>
      </c>
      <c r="K11" s="7" t="s">
        <v>26</v>
      </c>
    </row>
    <row r="12" spans="1:12" x14ac:dyDescent="0.25">
      <c r="A12" s="5" t="s">
        <v>40</v>
      </c>
      <c r="C12" s="3"/>
      <c r="D12" s="3"/>
      <c r="F12" s="10"/>
      <c r="I12" s="10"/>
      <c r="J12" s="10"/>
      <c r="K12" s="10"/>
      <c r="L12" s="10"/>
    </row>
    <row r="13" spans="1:12" x14ac:dyDescent="0.25">
      <c r="A13" s="3" t="s">
        <v>27</v>
      </c>
      <c r="C13" s="16">
        <f>EDATE(B5,12)-B5</f>
        <v>365</v>
      </c>
      <c r="D13" s="16"/>
      <c r="F13" s="3" t="s">
        <v>24</v>
      </c>
      <c r="G13" s="11">
        <f>IF(C14&gt;182,-((2*C23-1)*J5/2 + C23)*G5^2,-C23*G5^2)</f>
        <v>-0.40592667956948669</v>
      </c>
      <c r="H13" s="11">
        <f>IF(C14&gt;182,-2*G5*G13*((2*C23-1)*J5/2+C23)-(2*C23-1)*G5^2/2,C23^2*2*G5^3)</f>
        <v>0.33707054789781626</v>
      </c>
      <c r="I13" s="11">
        <f>$C$23</f>
        <v>0.42465753424657532</v>
      </c>
      <c r="J13" s="11">
        <f>-$G$13/$G$5</f>
        <v>0.41518649162861487</v>
      </c>
      <c r="K13" s="11">
        <f>H13/G5</f>
        <v>0.34475964566175582</v>
      </c>
    </row>
    <row r="14" spans="1:12" x14ac:dyDescent="0.25">
      <c r="A14" s="3" t="s">
        <v>28</v>
      </c>
      <c r="C14" s="16">
        <f>B7-B6</f>
        <v>155</v>
      </c>
      <c r="D14" s="16"/>
      <c r="G14" s="11"/>
      <c r="H14" s="11"/>
      <c r="I14" s="11">
        <f>J14*(1+J5*C23)</f>
        <v>0.42465753424657526</v>
      </c>
      <c r="J14" s="11">
        <f>$G$5*$C$23</f>
        <v>0.41518649162861487</v>
      </c>
      <c r="K14" s="11">
        <f>2*G5^2*C23^2</f>
        <v>0.34475964566175576</v>
      </c>
    </row>
    <row r="15" spans="1:12" x14ac:dyDescent="0.25">
      <c r="A15" s="3" t="s">
        <v>52</v>
      </c>
      <c r="C15" s="8">
        <f>EDATE(B7,-6)</f>
        <v>37080</v>
      </c>
      <c r="D15" s="8"/>
      <c r="K15" s="11"/>
    </row>
    <row r="16" spans="1:12" x14ac:dyDescent="0.25">
      <c r="A16" s="3" t="s">
        <v>53</v>
      </c>
      <c r="C16" s="8">
        <f>EDATE(C15,-6)</f>
        <v>36899</v>
      </c>
      <c r="D16" s="8"/>
      <c r="F16" s="3" t="s">
        <v>25</v>
      </c>
      <c r="G16" s="11"/>
      <c r="H16" s="11"/>
      <c r="I16" s="11">
        <f>DURATION($B$6,$B$7,0,B10/100,1,3)</f>
        <v>0.42465753424657526</v>
      </c>
      <c r="J16" s="17">
        <f>MDURATION($B$6,$B$7,0,J8,1,3)</f>
        <v>0.40300890585664645</v>
      </c>
      <c r="K16" s="11"/>
    </row>
    <row r="17" spans="1:10" s="10" customFormat="1" x14ac:dyDescent="0.25">
      <c r="A17" s="3" t="s">
        <v>54</v>
      </c>
      <c r="B17" s="3"/>
      <c r="C17" s="16">
        <f>B7-C15</f>
        <v>184</v>
      </c>
      <c r="D17" s="16"/>
      <c r="F17" s="3"/>
      <c r="G17" s="3"/>
      <c r="H17" s="3"/>
      <c r="I17" s="3"/>
      <c r="J17" s="17">
        <f>I16/(1+J5)</f>
        <v>0.40300890585664662</v>
      </c>
    </row>
    <row r="18" spans="1:10" x14ac:dyDescent="0.25">
      <c r="A18" s="3" t="s">
        <v>55</v>
      </c>
      <c r="C18" s="16">
        <f>MAX(C15-C16,0)</f>
        <v>181</v>
      </c>
      <c r="D18" s="16"/>
    </row>
    <row r="19" spans="1:10" x14ac:dyDescent="0.25">
      <c r="A19" s="3" t="s">
        <v>45</v>
      </c>
      <c r="C19" s="16">
        <f>MAX(C15-B6,0)</f>
        <v>0</v>
      </c>
      <c r="D19" s="16"/>
    </row>
    <row r="21" spans="1:10" x14ac:dyDescent="0.25">
      <c r="A21" s="5" t="s">
        <v>44</v>
      </c>
      <c r="C21" s="3"/>
      <c r="D21" s="3"/>
    </row>
    <row r="22" spans="1:10" x14ac:dyDescent="0.25">
      <c r="A22" s="3" t="s">
        <v>36</v>
      </c>
      <c r="C22" s="18">
        <f>($B$7-$B$6)/360</f>
        <v>0.43055555555555558</v>
      </c>
      <c r="D22" s="23">
        <f>YEARFRAC($B$6,$B$7,2)</f>
        <v>0.43055555555555558</v>
      </c>
    </row>
    <row r="23" spans="1:10" x14ac:dyDescent="0.25">
      <c r="A23" s="3" t="s">
        <v>37</v>
      </c>
      <c r="C23" s="18">
        <f>($B$7-$B$6)/$C$13</f>
        <v>0.42465753424657532</v>
      </c>
      <c r="D23" s="23">
        <f>YEARFRAC($B$6,$B$7,3)</f>
        <v>0.42465753424657532</v>
      </c>
    </row>
    <row r="24" spans="1:10" x14ac:dyDescent="0.25">
      <c r="A24" s="3" t="s">
        <v>46</v>
      </c>
      <c r="C24" s="18">
        <f>C13/360</f>
        <v>1.0138888888888888</v>
      </c>
      <c r="D24" s="18"/>
    </row>
    <row r="25" spans="1:10" s="10" customFormat="1" x14ac:dyDescent="0.25"/>
    <row r="32" spans="1:10" x14ac:dyDescent="0.25">
      <c r="C32" s="8"/>
      <c r="D32" s="8"/>
    </row>
  </sheetData>
  <pageMargins left="0.7" right="0.7" top="0.75" bottom="0.75" header="0.3" footer="0.3"/>
  <pageSetup orientation="portrait" verticalDpi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32"/>
  <sheetViews>
    <sheetView zoomScale="85" zoomScaleNormal="85" zoomScalePageLayoutView="85" workbookViewId="0">
      <selection activeCell="C29" sqref="C29"/>
    </sheetView>
  </sheetViews>
  <sheetFormatPr defaultColWidth="8.85546875" defaultRowHeight="15" x14ac:dyDescent="0.25"/>
  <cols>
    <col min="1" max="1" width="14.28515625" style="3" customWidth="1"/>
    <col min="2" max="2" width="19" style="3" customWidth="1"/>
    <col min="3" max="3" width="10.85546875" style="2" customWidth="1"/>
    <col min="4" max="4" width="8.85546875" style="3" bestFit="1" customWidth="1"/>
    <col min="5" max="5" width="9.42578125" style="3" customWidth="1"/>
    <col min="6" max="6" width="12.42578125" style="3" customWidth="1"/>
    <col min="7" max="7" width="16.42578125" style="3" bestFit="1" customWidth="1"/>
    <col min="8" max="8" width="16.140625" style="3" bestFit="1" customWidth="1"/>
    <col min="9" max="9" width="14" style="3" bestFit="1" customWidth="1"/>
    <col min="10" max="10" width="12.28515625" style="3" bestFit="1" customWidth="1"/>
    <col min="11" max="11" width="17.28515625" style="3" bestFit="1" customWidth="1"/>
    <col min="12" max="12" width="6" style="3" customWidth="1"/>
    <col min="13" max="16384" width="8.85546875" style="3"/>
  </cols>
  <sheetData>
    <row r="1" spans="1:11" x14ac:dyDescent="0.25">
      <c r="A1" s="1" t="s">
        <v>31</v>
      </c>
      <c r="B1" s="1" t="s">
        <v>77</v>
      </c>
    </row>
    <row r="2" spans="1:11" x14ac:dyDescent="0.25">
      <c r="A2" s="4"/>
    </row>
    <row r="3" spans="1:11" x14ac:dyDescent="0.25">
      <c r="A3" s="5" t="s">
        <v>30</v>
      </c>
      <c r="E3" s="2"/>
      <c r="F3" s="6" t="s">
        <v>33</v>
      </c>
      <c r="G3" s="7" t="s">
        <v>38</v>
      </c>
      <c r="H3" s="7" t="s">
        <v>39</v>
      </c>
      <c r="I3" s="7" t="s">
        <v>98</v>
      </c>
      <c r="J3" s="7" t="s">
        <v>41</v>
      </c>
      <c r="K3" s="7" t="s">
        <v>47</v>
      </c>
    </row>
    <row r="4" spans="1:11" x14ac:dyDescent="0.25">
      <c r="A4" s="3" t="s">
        <v>35</v>
      </c>
      <c r="B4" s="8"/>
      <c r="E4" s="9"/>
      <c r="F4" s="10"/>
      <c r="G4" s="10"/>
      <c r="H4" s="10"/>
      <c r="I4" s="10"/>
      <c r="J4" s="10"/>
      <c r="K4" s="10"/>
    </row>
    <row r="5" spans="1:11" x14ac:dyDescent="0.25">
      <c r="A5" s="3" t="s">
        <v>29</v>
      </c>
      <c r="B5" s="8">
        <v>37095</v>
      </c>
      <c r="E5" s="3" t="s">
        <v>24</v>
      </c>
      <c r="F5" s="11">
        <f>1-$C$22*B$10</f>
        <v>0.9490075</v>
      </c>
      <c r="G5" s="12">
        <f>$B$10/(1-$B$10*$C$22)</f>
        <v>5.5110207242830007E-2</v>
      </c>
      <c r="H5" s="12">
        <f>($B$10*$C$24)/(1-$B$10*$C$22)</f>
        <v>5.5875626787869309E-2</v>
      </c>
      <c r="I5" s="12">
        <f>IF(C14&gt;182,(-$C$23+SQRT($C$23^2-(2*$C$23-1)*(1-1/F5)))/($C$23-0.5),(1/F5-1)/$C$23)</f>
        <v>5.5145688868174642E-2</v>
      </c>
      <c r="J5" s="12">
        <f>IF($B$6&lt;EDATE($B$7,-6),(1/F5^(1/(1+($C$19/$C$18)))-1)*2,(1/F5-1)*(2*$C$17/$C$14))</f>
        <v>5.5155291747846835E-2</v>
      </c>
      <c r="K5" s="12">
        <f>IF($B$6&lt;EDATE($B$7,-6),(-C19-C17+SQRT((C19+C17)^2-4*C19*C17*(1-1/F5)))/(C19*C17/180),G5)</f>
        <v>5.4389840831349116E-2</v>
      </c>
    </row>
    <row r="6" spans="1:11" x14ac:dyDescent="0.25">
      <c r="A6" s="13" t="s">
        <v>2</v>
      </c>
      <c r="B6" s="8">
        <v>37109</v>
      </c>
      <c r="F6" s="11">
        <f>1/((1+I5*(C14/C13-1/2))*(1+I5/2))</f>
        <v>0.9490075</v>
      </c>
      <c r="G6" s="12">
        <f>(1/F5-1)*(360/$C$14)</f>
        <v>5.5110207242829994E-2</v>
      </c>
      <c r="H6" s="12">
        <f>(1/F5-1)*(1/$C$23)</f>
        <v>5.5875626787869309E-2</v>
      </c>
      <c r="I6" s="12" t="s">
        <v>42</v>
      </c>
      <c r="J6" s="12"/>
      <c r="K6" s="12"/>
    </row>
    <row r="7" spans="1:11" x14ac:dyDescent="0.25">
      <c r="A7" s="13" t="s">
        <v>6</v>
      </c>
      <c r="B7" s="4">
        <v>37460</v>
      </c>
      <c r="F7" s="11"/>
      <c r="G7" s="12"/>
      <c r="H7" s="12"/>
      <c r="I7" s="12"/>
      <c r="J7" s="12"/>
      <c r="K7" s="12"/>
    </row>
    <row r="8" spans="1:11" x14ac:dyDescent="0.25">
      <c r="B8" s="4"/>
      <c r="E8" s="3" t="s">
        <v>25</v>
      </c>
      <c r="F8" s="11">
        <f>TBILLPRICE($B$6,$B$7,B$10)</f>
        <v>94.900750000000002</v>
      </c>
      <c r="G8" s="12">
        <f>TBILLYIELD($B$6,$B$7,F8)</f>
        <v>5.511020724282998E-2</v>
      </c>
      <c r="H8" s="12"/>
      <c r="I8" s="12">
        <f>TBILLEQ($B$6,$B$7,B10)</f>
        <v>5.5145688868174642E-2</v>
      </c>
      <c r="J8" s="14"/>
      <c r="K8" s="14"/>
    </row>
    <row r="9" spans="1:11" x14ac:dyDescent="0.25">
      <c r="A9" s="5" t="s">
        <v>32</v>
      </c>
    </row>
    <row r="10" spans="1:11" x14ac:dyDescent="0.25">
      <c r="A10" s="3" t="s">
        <v>43</v>
      </c>
      <c r="B10" s="15">
        <v>5.2299999999999999E-2</v>
      </c>
    </row>
    <row r="11" spans="1:11" x14ac:dyDescent="0.25">
      <c r="F11" s="6" t="s">
        <v>50</v>
      </c>
      <c r="G11" s="6" t="s">
        <v>51</v>
      </c>
      <c r="H11" s="6" t="s">
        <v>49</v>
      </c>
      <c r="I11" s="7" t="s">
        <v>48</v>
      </c>
      <c r="J11" s="7" t="s">
        <v>26</v>
      </c>
    </row>
    <row r="12" spans="1:11" x14ac:dyDescent="0.25">
      <c r="A12" s="5" t="s">
        <v>40</v>
      </c>
      <c r="C12" s="3"/>
      <c r="E12" s="10"/>
      <c r="H12" s="10"/>
      <c r="I12" s="10"/>
      <c r="J12" s="10"/>
      <c r="K12" s="10"/>
    </row>
    <row r="13" spans="1:11" x14ac:dyDescent="0.25">
      <c r="A13" s="3" t="s">
        <v>27</v>
      </c>
      <c r="C13" s="16">
        <f>EDATE(B5,12)-B5</f>
        <v>365</v>
      </c>
      <c r="E13" s="3" t="s">
        <v>24</v>
      </c>
      <c r="F13" s="11">
        <f>IF(C14&gt;182,-((2*C23-1)*I5/2 + C23)*F5^2,-C23*F5^2)</f>
        <v>-0.88899865209761564</v>
      </c>
      <c r="G13" s="17">
        <f>IF(C14&gt;182,-2*F5*F13*((2*C23-1)*I5/2+C23)-(2*C23-1)*F5^2/2,C23^2*2*F5^3)</f>
        <v>1.2498052482815736</v>
      </c>
      <c r="H13" s="11">
        <f>$C$23</f>
        <v>0.9616438356164384</v>
      </c>
      <c r="I13" s="11">
        <f>-F13/F5</f>
        <v>0.93676672955441931</v>
      </c>
      <c r="J13" s="17">
        <f>G13/F5</f>
        <v>1.3169603488713983</v>
      </c>
    </row>
    <row r="14" spans="1:11" x14ac:dyDescent="0.25">
      <c r="A14" s="3" t="s">
        <v>28</v>
      </c>
      <c r="C14" s="16">
        <f>B7-B6</f>
        <v>351</v>
      </c>
      <c r="F14" s="11"/>
      <c r="G14" s="17">
        <f>2*F5^3*(C23+(2*C23-1)*I5/2)^2-(2*C23-1)*(F5^2)/2</f>
        <v>1.2498052482815736</v>
      </c>
      <c r="H14" s="11"/>
      <c r="I14" s="11">
        <f>F5*(C23+(2*C23-1)*I5/2)</f>
        <v>0.93676672955441942</v>
      </c>
      <c r="J14" s="17">
        <f>2*F5^2*(C23+(2*C23-1)*I5/2)^2-(2*C23-1)*F5/2</f>
        <v>1.3169603488713983</v>
      </c>
    </row>
    <row r="15" spans="1:11" x14ac:dyDescent="0.25">
      <c r="A15" s="3" t="s">
        <v>52</v>
      </c>
      <c r="C15" s="8">
        <f>EDATE(B7,-6)</f>
        <v>37279</v>
      </c>
      <c r="J15" s="11"/>
    </row>
    <row r="16" spans="1:11" x14ac:dyDescent="0.25">
      <c r="A16" s="3" t="s">
        <v>53</v>
      </c>
      <c r="C16" s="8">
        <f>EDATE(C15,-6)</f>
        <v>37095</v>
      </c>
      <c r="E16" s="3" t="s">
        <v>25</v>
      </c>
      <c r="F16" s="11"/>
      <c r="G16" s="11"/>
      <c r="H16" s="11">
        <f>DURATION($B$6,$B$7,0,B10/100,1,3)</f>
        <v>0.9616438356164384</v>
      </c>
      <c r="I16" s="17">
        <f>MDURATION($B$6,$B$7,0,I8,1,3)</f>
        <v>0.91138488813612717</v>
      </c>
      <c r="J16" s="11"/>
    </row>
    <row r="17" spans="1:9" s="10" customFormat="1" x14ac:dyDescent="0.25">
      <c r="A17" s="3" t="s">
        <v>54</v>
      </c>
      <c r="B17" s="3"/>
      <c r="C17" s="16">
        <f>B7-C15</f>
        <v>181</v>
      </c>
      <c r="E17" s="3"/>
      <c r="F17" s="3"/>
      <c r="G17" s="3"/>
      <c r="H17" s="3"/>
      <c r="I17" s="17">
        <f>H16/(1+I5)</f>
        <v>0.91138488813612728</v>
      </c>
    </row>
    <row r="18" spans="1:9" x14ac:dyDescent="0.25">
      <c r="A18" s="3" t="s">
        <v>55</v>
      </c>
      <c r="C18" s="16">
        <f>MAX(C15-C16,0)</f>
        <v>184</v>
      </c>
    </row>
    <row r="19" spans="1:9" x14ac:dyDescent="0.25">
      <c r="A19" s="3" t="s">
        <v>45</v>
      </c>
      <c r="C19" s="16">
        <f>MAX(C15-B6,0)</f>
        <v>170</v>
      </c>
    </row>
    <row r="21" spans="1:9" x14ac:dyDescent="0.25">
      <c r="A21" s="5" t="s">
        <v>44</v>
      </c>
      <c r="C21" s="3"/>
    </row>
    <row r="22" spans="1:9" x14ac:dyDescent="0.25">
      <c r="A22" s="3" t="s">
        <v>36</v>
      </c>
      <c r="C22" s="18">
        <f>($B$7-$B$6)/360</f>
        <v>0.97499999999999998</v>
      </c>
      <c r="D22" s="23">
        <f>YEARFRAC($B$6,$B$7,2)</f>
        <v>0.97499999999999998</v>
      </c>
    </row>
    <row r="23" spans="1:9" x14ac:dyDescent="0.25">
      <c r="A23" s="3" t="s">
        <v>37</v>
      </c>
      <c r="C23" s="18">
        <f>($B$7-$B$6)/$C$13</f>
        <v>0.9616438356164384</v>
      </c>
      <c r="D23" s="23">
        <f>YEARFRAC($B$6,$B$7,3)</f>
        <v>0.9616438356164384</v>
      </c>
    </row>
    <row r="24" spans="1:9" x14ac:dyDescent="0.25">
      <c r="A24" s="3" t="s">
        <v>46</v>
      </c>
      <c r="C24" s="18">
        <f>C13/360</f>
        <v>1.0138888888888888</v>
      </c>
    </row>
    <row r="25" spans="1:9" s="10" customFormat="1" x14ac:dyDescent="0.25"/>
    <row r="29" spans="1:9" x14ac:dyDescent="0.25">
      <c r="C29" s="2">
        <f>IF(B6&lt;EDATE(B7,-6),1,0)</f>
        <v>1</v>
      </c>
    </row>
    <row r="32" spans="1:9" x14ac:dyDescent="0.25">
      <c r="C32" s="8"/>
    </row>
  </sheetData>
  <pageMargins left="0.7" right="0.7" top="0.75" bottom="0.75" header="0.3" footer="0.3"/>
  <pageSetup orientation="portrait" verticalDpi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V39"/>
  <sheetViews>
    <sheetView zoomScale="85" zoomScaleNormal="85" zoomScalePageLayoutView="85" workbookViewId="0">
      <selection activeCell="B2" sqref="B2"/>
    </sheetView>
  </sheetViews>
  <sheetFormatPr defaultColWidth="8.85546875" defaultRowHeight="15" x14ac:dyDescent="0.25"/>
  <cols>
    <col min="1" max="1" width="14.28515625" style="3" customWidth="1"/>
    <col min="2" max="2" width="15.42578125" style="3" customWidth="1"/>
    <col min="3" max="3" width="10.85546875" style="2" customWidth="1"/>
    <col min="4" max="4" width="6.140625" style="3" customWidth="1"/>
    <col min="5" max="5" width="7.42578125" style="3" customWidth="1"/>
    <col min="6" max="6" width="9.42578125" style="3" customWidth="1"/>
    <col min="7" max="7" width="13.42578125" style="3" bestFit="1" customWidth="1"/>
    <col min="8" max="8" width="13.85546875" style="3" bestFit="1" customWidth="1"/>
    <col min="9" max="9" width="13.42578125" style="3" bestFit="1" customWidth="1"/>
    <col min="10" max="10" width="19.28515625" style="3" bestFit="1" customWidth="1"/>
    <col min="11" max="11" width="19.85546875" style="3" bestFit="1" customWidth="1"/>
    <col min="12" max="12" width="19.42578125" style="3" bestFit="1" customWidth="1"/>
    <col min="13" max="15" width="14.42578125" style="3" customWidth="1"/>
    <col min="16" max="16" width="19.28515625" style="3" bestFit="1" customWidth="1"/>
    <col min="17" max="17" width="19.85546875" style="3" bestFit="1" customWidth="1"/>
    <col min="18" max="18" width="19.42578125" style="3" bestFit="1" customWidth="1"/>
    <col min="19" max="19" width="11.85546875" style="3" customWidth="1"/>
    <col min="20" max="20" width="9.85546875" style="3" bestFit="1" customWidth="1"/>
    <col min="21" max="21" width="10.42578125" style="3" bestFit="1" customWidth="1"/>
    <col min="22" max="22" width="9.85546875" style="3" bestFit="1" customWidth="1"/>
    <col min="23" max="16384" width="8.85546875" style="3"/>
  </cols>
  <sheetData>
    <row r="1" spans="1:22" x14ac:dyDescent="0.25">
      <c r="A1" s="1" t="s">
        <v>31</v>
      </c>
      <c r="B1" s="5" t="s">
        <v>112</v>
      </c>
    </row>
    <row r="2" spans="1:22" x14ac:dyDescent="0.25">
      <c r="A2" s="4"/>
    </row>
    <row r="3" spans="1:22" x14ac:dyDescent="0.25">
      <c r="A3" s="5" t="s">
        <v>30</v>
      </c>
      <c r="E3" s="2"/>
      <c r="F3" s="2"/>
      <c r="G3" s="57" t="s">
        <v>33</v>
      </c>
      <c r="H3" s="58"/>
      <c r="I3" s="59"/>
      <c r="J3" s="57" t="s">
        <v>38</v>
      </c>
      <c r="K3" s="58"/>
      <c r="L3" s="59"/>
      <c r="M3" s="57" t="s">
        <v>39</v>
      </c>
      <c r="N3" s="58"/>
      <c r="O3" s="59"/>
      <c r="T3" s="4"/>
      <c r="V3" s="8"/>
    </row>
    <row r="4" spans="1:22" x14ac:dyDescent="0.25">
      <c r="A4" s="3" t="s">
        <v>35</v>
      </c>
      <c r="C4" s="8">
        <f ca="1">TODAY()</f>
        <v>42624</v>
      </c>
      <c r="E4" s="9"/>
      <c r="F4" s="9"/>
      <c r="G4" s="19" t="s">
        <v>56</v>
      </c>
      <c r="H4" s="19" t="s">
        <v>57</v>
      </c>
      <c r="I4" s="19" t="s">
        <v>58</v>
      </c>
      <c r="J4" s="10" t="s">
        <v>14</v>
      </c>
      <c r="K4" s="10" t="s">
        <v>15</v>
      </c>
      <c r="L4" s="10" t="s">
        <v>16</v>
      </c>
      <c r="M4" s="19" t="s">
        <v>56</v>
      </c>
      <c r="N4" s="19" t="s">
        <v>57</v>
      </c>
      <c r="O4" s="19" t="s">
        <v>58</v>
      </c>
      <c r="T4" s="4"/>
      <c r="U4" s="13"/>
      <c r="V4" s="8"/>
    </row>
    <row r="5" spans="1:22" x14ac:dyDescent="0.25">
      <c r="A5" s="3" t="s">
        <v>29</v>
      </c>
      <c r="C5" s="8" t="str">
        <f>_xll.BDP($B$1,A5)</f>
        <v>12/10/2015</v>
      </c>
      <c r="E5" s="3" t="s">
        <v>23</v>
      </c>
      <c r="I5" s="20"/>
      <c r="J5" s="21">
        <f>_xll.BDP($B$1,J4)</f>
        <v>0.33527146837082783</v>
      </c>
      <c r="K5" s="21">
        <f>_xll.BDP($B$1,K4)</f>
        <v>0.33276743306152151</v>
      </c>
      <c r="L5" s="21">
        <f>_xll.BDP($B$1,L4)</f>
        <v>0.33026342803344927</v>
      </c>
      <c r="M5" s="21"/>
      <c r="N5" s="21"/>
      <c r="T5" s="15"/>
      <c r="U5" s="13"/>
      <c r="V5" s="4"/>
    </row>
    <row r="6" spans="1:22" x14ac:dyDescent="0.25">
      <c r="A6" s="13" t="s">
        <v>2</v>
      </c>
      <c r="C6" s="8" t="str">
        <f>_xll.BDP($B$1,A6)</f>
        <v>9/12/2016</v>
      </c>
      <c r="T6" s="15"/>
      <c r="V6" s="4"/>
    </row>
    <row r="7" spans="1:22" x14ac:dyDescent="0.25">
      <c r="A7" s="13" t="s">
        <v>6</v>
      </c>
      <c r="C7" s="8" t="str">
        <f>_xll.BDP($B$1,A7)</f>
        <v>12/8/2016</v>
      </c>
      <c r="E7" s="3" t="s">
        <v>24</v>
      </c>
      <c r="G7" s="20">
        <f t="shared" ref="G7:H7" si="0">1-$C$27*A$13</f>
        <v>0.99919041657447816</v>
      </c>
      <c r="H7" s="20">
        <f t="shared" si="0"/>
        <v>0.99919645823538306</v>
      </c>
      <c r="I7" s="20">
        <f>1-$C$27*C$13</f>
        <v>0.99920249989628795</v>
      </c>
      <c r="J7" s="22">
        <f t="shared" ref="J7:K7" si="1">A$13/(1-A$13*$C$27)</f>
        <v>3.3527146837081605E-3</v>
      </c>
      <c r="K7" s="22">
        <f t="shared" si="1"/>
        <v>3.3276743306152774E-3</v>
      </c>
      <c r="L7" s="22">
        <f>C$13/(1-C$13*$C$27)</f>
        <v>3.3026342803345321E-3</v>
      </c>
      <c r="M7" s="22">
        <f t="shared" ref="M7:N7" si="2">(A$13*$C$29)/(1-A$13*$C$27)</f>
        <v>3.4085932617699626E-3</v>
      </c>
      <c r="N7" s="22">
        <f t="shared" si="2"/>
        <v>3.3831355694588653E-3</v>
      </c>
      <c r="O7" s="22">
        <f>(C$13*$C$29)/(1-C$13*$C$27)</f>
        <v>3.357678185006774E-3</v>
      </c>
    </row>
    <row r="8" spans="1:22" x14ac:dyDescent="0.25">
      <c r="G8" s="20"/>
      <c r="H8" s="20"/>
      <c r="I8" s="20">
        <f>1/(1+I17*C28)</f>
        <v>0.99920249989628807</v>
      </c>
      <c r="J8" s="22">
        <f t="shared" ref="J8:K8" si="3">(1/G7-1)*(360/$C$19)</f>
        <v>3.3527146837078374E-3</v>
      </c>
      <c r="K8" s="22">
        <f t="shared" si="3"/>
        <v>3.3276743306147379E-3</v>
      </c>
      <c r="L8" s="22">
        <f>(1/I7-1)*(360/$C$19)</f>
        <v>3.3026342803341257E-3</v>
      </c>
      <c r="M8" s="22">
        <f t="shared" ref="M8:N8" si="4">(1/G7-1)*(1/$C$28)</f>
        <v>3.4085932617696347E-3</v>
      </c>
      <c r="N8" s="22">
        <f t="shared" si="4"/>
        <v>3.3831355694583162E-3</v>
      </c>
      <c r="O8" s="22">
        <f>(1/I7-1)*(1/$C$28)</f>
        <v>3.3576781850063607E-3</v>
      </c>
      <c r="P8" s="12"/>
      <c r="Q8" s="12"/>
      <c r="R8" s="12"/>
      <c r="V8" s="15"/>
    </row>
    <row r="9" spans="1:22" x14ac:dyDescent="0.25">
      <c r="A9" s="5" t="s">
        <v>32</v>
      </c>
      <c r="G9" s="23"/>
      <c r="H9" s="23"/>
      <c r="I9" s="23"/>
      <c r="J9" s="11"/>
      <c r="K9" s="11"/>
      <c r="L9" s="12"/>
      <c r="M9" s="12"/>
      <c r="N9" s="12"/>
      <c r="O9" s="12"/>
      <c r="P9" s="12"/>
      <c r="Q9" s="12"/>
      <c r="R9" s="12"/>
    </row>
    <row r="10" spans="1:22" x14ac:dyDescent="0.25">
      <c r="A10" s="3" t="s">
        <v>34</v>
      </c>
      <c r="C10" s="2">
        <f>_xll.BDP($B$1,A10)</f>
        <v>2</v>
      </c>
      <c r="E10" s="3" t="s">
        <v>25</v>
      </c>
      <c r="G10" s="24">
        <f t="shared" ref="G10:H10" si="5">TBILLPRICE($C$6,$C$7,A$13)</f>
        <v>99.919041657447821</v>
      </c>
      <c r="H10" s="24">
        <f t="shared" si="5"/>
        <v>99.919645823538303</v>
      </c>
      <c r="I10" s="24">
        <f>TBILLPRICE($C$6,$C$7,C$13)</f>
        <v>99.9202499896288</v>
      </c>
      <c r="J10" s="22">
        <f>TBILLYIELD($C$6,$C$7,G10)</f>
        <v>3.352714683707925E-3</v>
      </c>
      <c r="K10" s="22">
        <f t="shared" ref="K10" si="6">TBILLYIELD($C$6,$C$7,H10)</f>
        <v>3.3276743306152779E-3</v>
      </c>
      <c r="L10" s="22">
        <f>TBILLYIELD($C$6,$C$7,I10)</f>
        <v>3.3026342803341791E-3</v>
      </c>
      <c r="M10" s="22"/>
      <c r="N10" s="22"/>
      <c r="O10" s="12"/>
      <c r="P10" s="14"/>
      <c r="Q10" s="14"/>
      <c r="R10" s="14"/>
    </row>
    <row r="11" spans="1:22" x14ac:dyDescent="0.25">
      <c r="A11" s="10" t="s">
        <v>0</v>
      </c>
      <c r="B11" s="10" t="s">
        <v>7</v>
      </c>
      <c r="C11" s="10" t="s">
        <v>1</v>
      </c>
    </row>
    <row r="12" spans="1:22" x14ac:dyDescent="0.25">
      <c r="A12" s="18">
        <f>_xll.BDP($B$1,A11)</f>
        <v>0.33500003814697266</v>
      </c>
      <c r="B12" s="18">
        <f>_xll.BDP($B$1,B11)</f>
        <v>0.33250004053115845</v>
      </c>
      <c r="C12" s="18">
        <f>_xll.BDP($B$1,C11)</f>
        <v>0.33000004291534424</v>
      </c>
    </row>
    <row r="13" spans="1:22" x14ac:dyDescent="0.25">
      <c r="A13" s="25">
        <f>A12/100</f>
        <v>3.3500003814697266E-3</v>
      </c>
      <c r="B13" s="25">
        <f>B12/100</f>
        <v>3.3250004053115845E-3</v>
      </c>
      <c r="C13" s="25">
        <f>C12/100</f>
        <v>3.3000004291534424E-3</v>
      </c>
      <c r="G13" s="57" t="s">
        <v>98</v>
      </c>
      <c r="H13" s="58"/>
      <c r="I13" s="59"/>
      <c r="J13" s="57" t="s">
        <v>41</v>
      </c>
      <c r="K13" s="58"/>
      <c r="L13" s="59"/>
      <c r="M13" s="57" t="s">
        <v>47</v>
      </c>
      <c r="N13" s="60"/>
      <c r="O13" s="61"/>
      <c r="V13" s="8"/>
    </row>
    <row r="14" spans="1:22" x14ac:dyDescent="0.25">
      <c r="G14" s="10" t="s">
        <v>3</v>
      </c>
      <c r="H14" s="10" t="s">
        <v>4</v>
      </c>
      <c r="I14" s="10" t="s">
        <v>5</v>
      </c>
      <c r="J14" s="10" t="s">
        <v>11</v>
      </c>
      <c r="K14" s="10" t="s">
        <v>12</v>
      </c>
      <c r="L14" s="10" t="s">
        <v>13</v>
      </c>
      <c r="U14" s="13"/>
      <c r="V14" s="8"/>
    </row>
    <row r="15" spans="1:22" x14ac:dyDescent="0.25">
      <c r="E15" s="3" t="s">
        <v>23</v>
      </c>
      <c r="G15" s="21">
        <f>_xll.BDP($B$1,G14)</f>
        <v>0.34085932617700831</v>
      </c>
      <c r="H15" s="21">
        <f>_xll.BDP($B$1,H14)</f>
        <v>0.33831355694588022</v>
      </c>
      <c r="I15" s="21">
        <f>_xll.BDP($B$1,I14)</f>
        <v>0.33576781850067344</v>
      </c>
      <c r="J15" s="21">
        <f>_xll.BDP($B$1,J14)</f>
        <v>0.34085932617696346</v>
      </c>
      <c r="K15" s="21">
        <f>_xll.BDP($B$1,K14)</f>
        <v>0.33831355694592508</v>
      </c>
      <c r="L15" s="21">
        <f>_xll.BDP($B$1,L14)</f>
        <v>0.33576781850072951</v>
      </c>
      <c r="U15" s="13"/>
      <c r="V15" s="4"/>
    </row>
    <row r="16" spans="1:22" x14ac:dyDescent="0.25">
      <c r="R16" s="10"/>
    </row>
    <row r="17" spans="1:22" x14ac:dyDescent="0.25">
      <c r="A17" s="5" t="s">
        <v>40</v>
      </c>
      <c r="C17" s="3"/>
      <c r="E17" s="3" t="s">
        <v>24</v>
      </c>
      <c r="G17" s="22">
        <f>IF($C$19&gt;182,(-$C$28+SQRT($C$28^2-(2*$C$28-1)*(1-1/G7)))/($C$28-0.5),(1/G7-1)/$C$28)</f>
        <v>3.4085932617696347E-3</v>
      </c>
      <c r="H17" s="22">
        <f>IF($C$19&gt;182,(-$C$28+SQRT($C$28^2-(2*$C$28-1)*(1-1/H7)))/($C$28-0.5),(1/H7-1)/$C$28)</f>
        <v>3.3831355694583167E-3</v>
      </c>
      <c r="I17" s="22">
        <f>IF($C$19&gt;182,(-$C$28+SQRT($C$28^2-(2*$C$28-1)*(1-1/I7)))/($C$28-0.5),(1/I7-1)/$C$28)</f>
        <v>3.3576781850063612E-3</v>
      </c>
      <c r="J17" s="22">
        <f>IF(DATEVALUE($C$6)&lt;EDATE($C$7,-6),(G7^(-$C$23/($C$24+$C$23))-1)*2,(1/G7-1)*(2*$C$22/$C$19))</f>
        <v>3.4085932617696347E-3</v>
      </c>
      <c r="K17" s="22">
        <f t="shared" ref="K17:L17" si="7">IF(DATEVALUE($C$6)&lt;EDATE($C$7,-6),(H7^(-$C$23/($C$24+$C$23))-1)*2,(1/H7-1)*(2*$C$22/$C$19))</f>
        <v>3.3831355694583162E-3</v>
      </c>
      <c r="L17" s="22">
        <f t="shared" si="7"/>
        <v>3.3576781850063607E-3</v>
      </c>
      <c r="M17" s="22">
        <f t="shared" ref="M17:N17" si="8">IF($C$6&lt;EDATE($C$7,-6),(-$C$24-$C$22+SQRT(($C$24+$C$22)^2-4*$C$24*$C$22*(1-1/G7)))/($C$24*$C$22/180),J7)</f>
        <v>3.3527146837081605E-3</v>
      </c>
      <c r="N17" s="22">
        <f t="shared" si="8"/>
        <v>3.3276743306152774E-3</v>
      </c>
      <c r="O17" s="22">
        <f>IF($C$6&lt;EDATE($C$7,-6),(-$C$24-$C$22+SQRT(($C$24+$C$22)^2-4*$C$24*$C$22*(1-1/I7)))/($C$24*$C$22/180),L7)</f>
        <v>3.3026342803345321E-3</v>
      </c>
    </row>
    <row r="18" spans="1:22" x14ac:dyDescent="0.25">
      <c r="A18" s="3" t="s">
        <v>27</v>
      </c>
      <c r="C18" s="16">
        <f>EDATE(C5,12)-C5</f>
        <v>366</v>
      </c>
      <c r="G18" s="22"/>
      <c r="H18" s="22"/>
      <c r="I18" s="22" t="s">
        <v>42</v>
      </c>
      <c r="J18" s="22"/>
      <c r="V18" s="15"/>
    </row>
    <row r="19" spans="1:22" s="10" customFormat="1" x14ac:dyDescent="0.25">
      <c r="A19" s="3" t="s">
        <v>28</v>
      </c>
      <c r="B19" s="3"/>
      <c r="C19" s="16">
        <f>C7-C6</f>
        <v>87</v>
      </c>
      <c r="E19" s="3"/>
      <c r="G19" s="22"/>
      <c r="H19" s="22"/>
      <c r="I19" s="22"/>
      <c r="R19" s="3"/>
    </row>
    <row r="20" spans="1:22" x14ac:dyDescent="0.25">
      <c r="A20" s="3" t="s">
        <v>52</v>
      </c>
      <c r="C20" s="8">
        <f>EDATE(C7,-6)</f>
        <v>42529</v>
      </c>
      <c r="E20" s="3" t="s">
        <v>25</v>
      </c>
      <c r="G20" s="22">
        <f>TBILLEQ($C$6,$C$7,A13)</f>
        <v>3.3992801654263291E-3</v>
      </c>
      <c r="H20" s="22">
        <f>TBILLEQ($C$6,$C$7,B13)</f>
        <v>3.3738920296516009E-3</v>
      </c>
      <c r="I20" s="22">
        <f>TBILLEQ($C$6,$C$7,C13)</f>
        <v>3.3485042008947344E-3</v>
      </c>
    </row>
    <row r="21" spans="1:22" x14ac:dyDescent="0.25">
      <c r="A21" s="3" t="s">
        <v>53</v>
      </c>
      <c r="C21" s="8">
        <f>EDATE(C20,-6)</f>
        <v>42346</v>
      </c>
    </row>
    <row r="22" spans="1:22" x14ac:dyDescent="0.25">
      <c r="A22" s="3" t="s">
        <v>54</v>
      </c>
      <c r="C22" s="16">
        <f>C7-C20</f>
        <v>183</v>
      </c>
    </row>
    <row r="23" spans="1:22" x14ac:dyDescent="0.25">
      <c r="A23" s="3" t="s">
        <v>55</v>
      </c>
      <c r="C23" s="16">
        <f>MAX(C20-C21,0)</f>
        <v>183</v>
      </c>
      <c r="G23" s="57" t="s">
        <v>50</v>
      </c>
      <c r="H23" s="60"/>
      <c r="I23" s="61"/>
      <c r="J23" s="57" t="s">
        <v>51</v>
      </c>
      <c r="K23" s="60"/>
      <c r="L23" s="61"/>
    </row>
    <row r="24" spans="1:22" x14ac:dyDescent="0.25">
      <c r="A24" s="3" t="s">
        <v>45</v>
      </c>
      <c r="C24" s="16">
        <f>MAX(C20-C6,0)</f>
        <v>0</v>
      </c>
      <c r="G24" s="19" t="s">
        <v>56</v>
      </c>
      <c r="H24" s="19" t="s">
        <v>57</v>
      </c>
      <c r="I24" s="19" t="s">
        <v>58</v>
      </c>
      <c r="J24" s="19" t="s">
        <v>56</v>
      </c>
      <c r="K24" s="19" t="s">
        <v>57</v>
      </c>
      <c r="L24" s="19" t="s">
        <v>58</v>
      </c>
    </row>
    <row r="25" spans="1:22" x14ac:dyDescent="0.25">
      <c r="E25" s="3" t="s">
        <v>24</v>
      </c>
      <c r="G25" s="21">
        <f t="shared" ref="G25:H25" si="9">IF($C$19&gt;182,-((2*$C$28-1)*G17/2 + $C$28)*G7^2,-$C$28*G7^2)</f>
        <v>-0.23732018990700079</v>
      </c>
      <c r="H25" s="21">
        <f t="shared" si="9"/>
        <v>-0.23732305985535962</v>
      </c>
      <c r="I25" s="21">
        <f>IF($C$19&gt;182,-((2*$C$28-1)*I17/2 + $C$28)*I7^2,-$C$28*I7^2)</f>
        <v>-0.2373259298210717</v>
      </c>
      <c r="J25" s="21">
        <f>IF($C$19&gt;182,-2*G7*G25*((2*$C$28-1)*G17/2+$C$28)-(2*$C$28-1)*G7^2/2,$C$28^2*2*G7^3)</f>
        <v>0.1127330118528951</v>
      </c>
      <c r="K25" s="21">
        <f t="shared" ref="K25" si="10">IF($C$19&gt;182,-2*H7*H25*((2*$C$28-1)*H17/2+$C$28)-(2*$C$28-1)*H7^2/2,$C$28^2*2*H7^3)</f>
        <v>0.11273505680470025</v>
      </c>
      <c r="L25" s="21">
        <f>IF($C$19&gt;182,-2*I7*I25*((2*$C$28-1)*I17/2+$C$28)-(2*$C$28-1)*I7^2/2,$C$28^2*2*I7^3)</f>
        <v>0.11273710178123524</v>
      </c>
    </row>
    <row r="26" spans="1:22" x14ac:dyDescent="0.25">
      <c r="A26" s="5" t="s">
        <v>44</v>
      </c>
      <c r="C26" s="3"/>
    </row>
    <row r="27" spans="1:22" s="10" customFormat="1" x14ac:dyDescent="0.25">
      <c r="A27" s="3" t="s">
        <v>36</v>
      </c>
      <c r="B27" s="3"/>
      <c r="C27" s="18">
        <f>($C$7-$C$6)/360</f>
        <v>0.24166666666666667</v>
      </c>
    </row>
    <row r="28" spans="1:22" x14ac:dyDescent="0.25">
      <c r="A28" s="3" t="s">
        <v>37</v>
      </c>
      <c r="C28" s="18">
        <f>($C$7-$C$6)/$C$18</f>
        <v>0.23770491803278687</v>
      </c>
    </row>
    <row r="29" spans="1:22" x14ac:dyDescent="0.25">
      <c r="A29" s="3" t="s">
        <v>46</v>
      </c>
      <c r="C29" s="18">
        <f>C18/360</f>
        <v>1.0166666666666666</v>
      </c>
      <c r="G29" s="57" t="s">
        <v>49</v>
      </c>
      <c r="H29" s="58"/>
      <c r="I29" s="59"/>
      <c r="J29" s="57" t="s">
        <v>48</v>
      </c>
      <c r="K29" s="58"/>
      <c r="L29" s="59"/>
      <c r="M29" s="57" t="s">
        <v>93</v>
      </c>
      <c r="N29" s="58"/>
      <c r="O29" s="59"/>
    </row>
    <row r="30" spans="1:22" x14ac:dyDescent="0.25">
      <c r="G30" s="10" t="s">
        <v>8</v>
      </c>
      <c r="H30" s="10" t="s">
        <v>9</v>
      </c>
      <c r="I30" s="10" t="s">
        <v>10</v>
      </c>
      <c r="J30" s="10" t="s">
        <v>17</v>
      </c>
      <c r="K30" s="10" t="s">
        <v>18</v>
      </c>
      <c r="L30" s="10" t="s">
        <v>19</v>
      </c>
      <c r="M30" s="10" t="s">
        <v>20</v>
      </c>
      <c r="N30" s="10" t="s">
        <v>21</v>
      </c>
      <c r="O30" s="10" t="s">
        <v>22</v>
      </c>
    </row>
    <row r="31" spans="1:22" x14ac:dyDescent="0.25">
      <c r="E31" s="3" t="s">
        <v>23</v>
      </c>
      <c r="G31" s="21">
        <f>_xll.BDP($B$1,G30)</f>
        <v>0.23770491803278687</v>
      </c>
      <c r="H31" s="21">
        <f>_xll.BDP($B$1,H30)</f>
        <v>0.23770491803278687</v>
      </c>
      <c r="I31" s="21">
        <f>_xll.BDP($B$1,I30)</f>
        <v>0.23770491803278687</v>
      </c>
      <c r="J31" s="21">
        <f>_xll.BDP($B$1,J30)</f>
        <v>0.23751247607053924</v>
      </c>
      <c r="K31" s="21">
        <f>_xll.BDP($B$1,K30)</f>
        <v>0.23751391220358856</v>
      </c>
      <c r="L31" s="21">
        <f>_xll.BDP($B$1,L30)</f>
        <v>0.23751534833562629</v>
      </c>
      <c r="M31" s="21">
        <f>_xll.BDP($B$1,M30)</f>
        <v>1.1282434587354623E-3</v>
      </c>
      <c r="N31" s="21">
        <f>_xll.BDP($B$1,N30)</f>
        <v>1.1282571168767434E-3</v>
      </c>
      <c r="O31" s="21">
        <f>_xll.BDP($B$1,O30)</f>
        <v>1.128270774852857E-3</v>
      </c>
    </row>
    <row r="33" spans="5:15" x14ac:dyDescent="0.25">
      <c r="E33" s="3" t="s">
        <v>24</v>
      </c>
      <c r="G33" s="21">
        <f t="shared" ref="G33:H33" si="11">$C$28</f>
        <v>0.23770491803278687</v>
      </c>
      <c r="H33" s="21">
        <f t="shared" si="11"/>
        <v>0.23770491803278687</v>
      </c>
      <c r="I33" s="21">
        <f>$C$28</f>
        <v>0.23770491803278687</v>
      </c>
      <c r="J33" s="21">
        <f t="shared" ref="J33:K33" si="12">-G25/G7</f>
        <v>0.23751247607098253</v>
      </c>
      <c r="K33" s="21">
        <f t="shared" si="12"/>
        <v>0.23751391220349269</v>
      </c>
      <c r="L33" s="21">
        <f>-I25/I7</f>
        <v>0.23751534833600288</v>
      </c>
      <c r="M33" s="23">
        <f t="shared" ref="M33:N33" si="13">J25/G7</f>
        <v>0.11282435257873807</v>
      </c>
      <c r="N33" s="23">
        <f t="shared" si="13"/>
        <v>0.11282571698041687</v>
      </c>
      <c r="O33" s="23">
        <f>L25/I7</f>
        <v>0.11282708139034556</v>
      </c>
    </row>
    <row r="34" spans="5:15" x14ac:dyDescent="0.25">
      <c r="G34" s="11"/>
      <c r="H34" s="11"/>
      <c r="I34" s="11"/>
      <c r="L34" s="11"/>
      <c r="M34" s="23">
        <f>2*G7^2*$C$28^2</f>
        <v>0.11282435257873807</v>
      </c>
      <c r="N34" s="23">
        <f t="shared" ref="N34:O34" si="14">2*H7^2*$C$28^2</f>
        <v>0.11282571698041687</v>
      </c>
      <c r="O34" s="23">
        <f t="shared" si="14"/>
        <v>0.11282708139034556</v>
      </c>
    </row>
    <row r="35" spans="5:15" x14ac:dyDescent="0.25">
      <c r="G35" s="11"/>
      <c r="H35" s="11"/>
      <c r="I35" s="11"/>
      <c r="L35" s="11"/>
      <c r="O35" s="10"/>
    </row>
    <row r="36" spans="5:15" x14ac:dyDescent="0.25">
      <c r="E36" s="3" t="s">
        <v>25</v>
      </c>
      <c r="G36" s="21">
        <f t="shared" ref="G36:H36" si="15">DURATION($C$6,$C$7,0,A13/100,1,3)</f>
        <v>0.2356164383561643</v>
      </c>
      <c r="H36" s="21">
        <f t="shared" si="15"/>
        <v>0.23561643835616428</v>
      </c>
      <c r="I36" s="21">
        <f>DURATION($C$6,$C$7,0,C13/100,1,3)</f>
        <v>0.2356164383561643</v>
      </c>
      <c r="J36" s="26">
        <f t="shared" ref="J36:K36" si="16">MDURATION($C$6,$C$7,0,G20,1,3)</f>
        <v>0.2348182254200134</v>
      </c>
      <c r="K36" s="26">
        <f t="shared" si="16"/>
        <v>0.23482416697085179</v>
      </c>
      <c r="L36" s="26">
        <f>MDURATION($C$6,$C$7,0,I20,1,3)</f>
        <v>0.23483010875051663</v>
      </c>
    </row>
    <row r="37" spans="5:15" x14ac:dyDescent="0.25">
      <c r="J37" s="26">
        <f t="shared" ref="J37:K37" si="17">G36/(1+G17)</f>
        <v>0.23481604596413558</v>
      </c>
      <c r="K37" s="26">
        <f t="shared" si="17"/>
        <v>0.23482200368301281</v>
      </c>
      <c r="L37" s="26">
        <f>I36/(1+I17)</f>
        <v>0.23482796163216246</v>
      </c>
      <c r="O37" s="11"/>
    </row>
    <row r="38" spans="5:15" x14ac:dyDescent="0.25">
      <c r="J38" s="11"/>
      <c r="K38" s="11"/>
      <c r="L38" s="11"/>
      <c r="O38" s="11"/>
    </row>
    <row r="39" spans="5:15" x14ac:dyDescent="0.25">
      <c r="O39" s="11"/>
    </row>
  </sheetData>
  <mergeCells count="11">
    <mergeCell ref="G23:I23"/>
    <mergeCell ref="J23:L23"/>
    <mergeCell ref="G29:I29"/>
    <mergeCell ref="J29:L29"/>
    <mergeCell ref="M29:O29"/>
    <mergeCell ref="G3:I3"/>
    <mergeCell ref="J3:L3"/>
    <mergeCell ref="M3:O3"/>
    <mergeCell ref="G13:I13"/>
    <mergeCell ref="M13:O13"/>
    <mergeCell ref="J13:L13"/>
  </mergeCells>
  <pageMargins left="0.7" right="0.7" top="0.75" bottom="0.75" header="0.3" footer="0.3"/>
  <pageSetup orientation="portrait" verticalDpi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V44"/>
  <sheetViews>
    <sheetView zoomScale="85" zoomScaleNormal="85" zoomScalePageLayoutView="85" workbookViewId="0">
      <selection activeCell="B2" sqref="B2"/>
    </sheetView>
  </sheetViews>
  <sheetFormatPr defaultColWidth="8.85546875" defaultRowHeight="15" x14ac:dyDescent="0.25"/>
  <cols>
    <col min="1" max="1" width="14.28515625" style="3" customWidth="1"/>
    <col min="2" max="2" width="15.42578125" style="3" customWidth="1"/>
    <col min="3" max="3" width="10.85546875" style="2" customWidth="1"/>
    <col min="4" max="4" width="6.140625" style="3" customWidth="1"/>
    <col min="5" max="5" width="7.42578125" style="3" customWidth="1"/>
    <col min="6" max="6" width="9.42578125" style="3" customWidth="1"/>
    <col min="7" max="7" width="13.42578125" style="3" bestFit="1" customWidth="1"/>
    <col min="8" max="8" width="13.85546875" style="3" bestFit="1" customWidth="1"/>
    <col min="9" max="9" width="13.42578125" style="3" bestFit="1" customWidth="1"/>
    <col min="10" max="10" width="19.28515625" style="3" bestFit="1" customWidth="1"/>
    <col min="11" max="11" width="19.85546875" style="3" bestFit="1" customWidth="1"/>
    <col min="12" max="12" width="19.42578125" style="3" bestFit="1" customWidth="1"/>
    <col min="13" max="15" width="14.42578125" style="3" customWidth="1"/>
    <col min="16" max="16" width="19.28515625" style="3" bestFit="1" customWidth="1"/>
    <col min="17" max="17" width="19.85546875" style="3" bestFit="1" customWidth="1"/>
    <col min="18" max="18" width="19.42578125" style="3" bestFit="1" customWidth="1"/>
    <col min="19" max="19" width="11.85546875" style="3" customWidth="1"/>
    <col min="20" max="20" width="9.85546875" style="3" bestFit="1" customWidth="1"/>
    <col min="21" max="21" width="10.42578125" style="3" bestFit="1" customWidth="1"/>
    <col min="22" max="22" width="9.85546875" style="3" bestFit="1" customWidth="1"/>
    <col min="23" max="16384" width="8.85546875" style="3"/>
  </cols>
  <sheetData>
    <row r="1" spans="1:22" x14ac:dyDescent="0.25">
      <c r="A1" s="1" t="s">
        <v>31</v>
      </c>
      <c r="B1" s="5" t="s">
        <v>113</v>
      </c>
    </row>
    <row r="2" spans="1:22" x14ac:dyDescent="0.25">
      <c r="A2" s="4"/>
    </row>
    <row r="3" spans="1:22" x14ac:dyDescent="0.25">
      <c r="A3" s="5" t="s">
        <v>30</v>
      </c>
      <c r="E3" s="2"/>
      <c r="F3" s="2"/>
      <c r="G3" s="57" t="s">
        <v>33</v>
      </c>
      <c r="H3" s="58"/>
      <c r="I3" s="59"/>
      <c r="J3" s="57" t="s">
        <v>38</v>
      </c>
      <c r="K3" s="58"/>
      <c r="L3" s="59"/>
      <c r="M3" s="57" t="s">
        <v>39</v>
      </c>
      <c r="N3" s="58"/>
      <c r="O3" s="59"/>
      <c r="T3" s="4"/>
      <c r="V3" s="8"/>
    </row>
    <row r="4" spans="1:22" x14ac:dyDescent="0.25">
      <c r="A4" s="3" t="s">
        <v>35</v>
      </c>
      <c r="C4" s="8">
        <f ca="1">TODAY()</f>
        <v>42624</v>
      </c>
      <c r="E4" s="9"/>
      <c r="F4" s="9"/>
      <c r="G4" s="19" t="s">
        <v>56</v>
      </c>
      <c r="H4" s="19" t="s">
        <v>57</v>
      </c>
      <c r="I4" s="19" t="s">
        <v>58</v>
      </c>
      <c r="J4" s="10" t="s">
        <v>14</v>
      </c>
      <c r="K4" s="10" t="s">
        <v>15</v>
      </c>
      <c r="L4" s="10" t="s">
        <v>16</v>
      </c>
      <c r="M4" s="19" t="s">
        <v>56</v>
      </c>
      <c r="N4" s="19" t="s">
        <v>57</v>
      </c>
      <c r="O4" s="19" t="s">
        <v>58</v>
      </c>
      <c r="T4" s="4"/>
      <c r="U4" s="13"/>
      <c r="V4" s="8"/>
    </row>
    <row r="5" spans="1:22" x14ac:dyDescent="0.25">
      <c r="A5" s="3" t="s">
        <v>29</v>
      </c>
      <c r="C5" s="8" t="str">
        <f>_xll.BDP($B$1,A5)</f>
        <v>8/18/2016</v>
      </c>
      <c r="E5" s="3" t="s">
        <v>23</v>
      </c>
      <c r="I5" s="20"/>
      <c r="J5" s="21">
        <f>_xll.BDP($B$1,J4)</f>
        <v>0.55791581471679219</v>
      </c>
      <c r="K5" s="21">
        <f>_xll.BDP($B$1,K4)</f>
        <v>0.55538953937135394</v>
      </c>
      <c r="L5" s="21">
        <f>_xll.BDP($B$1,L4)</f>
        <v>0.55286338359050369</v>
      </c>
      <c r="M5" s="21"/>
      <c r="N5" s="21"/>
      <c r="T5" s="15"/>
      <c r="U5" s="13"/>
      <c r="V5" s="4"/>
    </row>
    <row r="6" spans="1:22" x14ac:dyDescent="0.25">
      <c r="A6" s="13" t="s">
        <v>2</v>
      </c>
      <c r="C6" s="8" t="str">
        <f>_xll.BDP($B$1,A6)</f>
        <v>9/12/2016</v>
      </c>
      <c r="T6" s="15"/>
      <c r="V6" s="4"/>
    </row>
    <row r="7" spans="1:22" x14ac:dyDescent="0.25">
      <c r="A7" s="13" t="s">
        <v>6</v>
      </c>
      <c r="C7" s="8" t="str">
        <f>_xll.BDP($B$1,A7)</f>
        <v>8/17/2017</v>
      </c>
      <c r="E7" s="3" t="s">
        <v>24</v>
      </c>
      <c r="G7" s="44">
        <f t="shared" ref="G7:H7" si="0">1-$C$27*A$13</f>
        <v>0.99477374993264678</v>
      </c>
      <c r="H7" s="44">
        <f t="shared" si="0"/>
        <v>0.99479729157686236</v>
      </c>
      <c r="I7" s="44">
        <f>1-$C$27*C$13</f>
        <v>0.99482083322107795</v>
      </c>
      <c r="J7" s="22">
        <f t="shared" ref="J7:K7" si="1">A$13/(1-A$13*$C$27)</f>
        <v>5.5791581471679851E-3</v>
      </c>
      <c r="K7" s="22">
        <f t="shared" si="1"/>
        <v>5.5538953937135302E-3</v>
      </c>
      <c r="L7" s="22">
        <f>C$13/(1-C$13*$C$27)</f>
        <v>5.5286338359050334E-3</v>
      </c>
      <c r="M7" s="22">
        <f t="shared" ref="M7:N7" si="2">(A$13*$C$29)/(1-A$13*$C$27)</f>
        <v>5.65664645476754E-3</v>
      </c>
      <c r="N7" s="22">
        <f t="shared" si="2"/>
        <v>5.6310328297373294E-3</v>
      </c>
      <c r="O7" s="22">
        <f>(C$13*$C$29)/(1-C$13*$C$27)</f>
        <v>5.6054204169592699E-3</v>
      </c>
    </row>
    <row r="8" spans="1:22" x14ac:dyDescent="0.25">
      <c r="G8" s="44">
        <f>1/((1+G$17*($C$28-1/2))*(1+G$17/2))</f>
        <v>0.99477374993264678</v>
      </c>
      <c r="H8" s="44">
        <f t="shared" ref="H8:I8" si="3">1/((1+H$17*($C$28-1/2))*(1+H$17/2))</f>
        <v>0.99479729157686236</v>
      </c>
      <c r="I8" s="44">
        <f t="shared" si="3"/>
        <v>0.99482083322107806</v>
      </c>
      <c r="J8" s="22">
        <f t="shared" ref="J8:K8" si="4">(1/G7-1)*(360/$C$19)</f>
        <v>5.5791581471680077E-3</v>
      </c>
      <c r="K8" s="22">
        <f t="shared" si="4"/>
        <v>5.5538953937135397E-3</v>
      </c>
      <c r="L8" s="22">
        <f>(1/I7-1)*(360/$C$19)</f>
        <v>5.5286338359048963E-3</v>
      </c>
      <c r="M8" s="22">
        <f t="shared" ref="M8:N8" si="5">(1/G7-1)*(1/$C$28)</f>
        <v>5.6566464547675626E-3</v>
      </c>
      <c r="N8" s="22">
        <f t="shared" si="5"/>
        <v>5.6310328297373381E-3</v>
      </c>
      <c r="O8" s="22">
        <f>(1/I7-1)*(1/$C$28)</f>
        <v>5.6054204169591303E-3</v>
      </c>
      <c r="P8" s="12"/>
      <c r="Q8" s="12"/>
      <c r="R8" s="12"/>
      <c r="V8" s="15"/>
    </row>
    <row r="9" spans="1:22" x14ac:dyDescent="0.25">
      <c r="A9" s="5" t="s">
        <v>32</v>
      </c>
      <c r="G9" s="23"/>
      <c r="H9" s="23"/>
      <c r="I9" s="23"/>
      <c r="J9" s="11"/>
      <c r="K9" s="11"/>
      <c r="L9" s="12"/>
      <c r="M9" s="12"/>
      <c r="N9" s="12"/>
      <c r="O9" s="12"/>
      <c r="P9" s="12"/>
      <c r="Q9" s="12"/>
      <c r="R9" s="12"/>
    </row>
    <row r="10" spans="1:22" x14ac:dyDescent="0.25">
      <c r="A10" s="3" t="s">
        <v>34</v>
      </c>
      <c r="C10" s="2">
        <f>_xll.BDP($B$1,A10)</f>
        <v>2</v>
      </c>
      <c r="E10" s="3" t="s">
        <v>25</v>
      </c>
      <c r="G10" s="20">
        <f t="shared" ref="G10:H10" si="6">TBILLPRICE($C$6,$C$7,A$13)</f>
        <v>99.477374993264675</v>
      </c>
      <c r="H10" s="20">
        <f t="shared" si="6"/>
        <v>99.479729157686236</v>
      </c>
      <c r="I10" s="20">
        <f>TBILLPRICE($C$6,$C$7,C$13)</f>
        <v>99.482083322107798</v>
      </c>
      <c r="J10" s="22">
        <f>TBILLYIELD($C$6,$C$7,G10)</f>
        <v>5.5791581471679851E-3</v>
      </c>
      <c r="K10" s="22">
        <f t="shared" ref="K10" si="7">TBILLYIELD($C$6,$C$7,H10)</f>
        <v>5.5538953937135007E-3</v>
      </c>
      <c r="L10" s="22">
        <f>TBILLYIELD($C$6,$C$7,I10)</f>
        <v>5.5286338359049727E-3</v>
      </c>
      <c r="M10" s="22"/>
      <c r="N10" s="22"/>
      <c r="O10" s="12"/>
      <c r="P10" s="14"/>
      <c r="Q10" s="14"/>
      <c r="R10" s="14"/>
    </row>
    <row r="11" spans="1:22" x14ac:dyDescent="0.25">
      <c r="A11" s="10" t="s">
        <v>0</v>
      </c>
      <c r="B11" s="10" t="s">
        <v>7</v>
      </c>
      <c r="C11" s="10" t="s">
        <v>1</v>
      </c>
    </row>
    <row r="12" spans="1:22" x14ac:dyDescent="0.25">
      <c r="A12" s="18">
        <f>_xll.BDP($B$1,A11)</f>
        <v>0.55500000715255737</v>
      </c>
      <c r="B12" s="18">
        <f>_xll.BDP($B$1,B11)</f>
        <v>0.55250000953674316</v>
      </c>
      <c r="C12" s="18">
        <f>_xll.BDP($B$1,C11)</f>
        <v>0.55000001192092896</v>
      </c>
    </row>
    <row r="13" spans="1:22" x14ac:dyDescent="0.25">
      <c r="A13" s="25">
        <f>A12/100</f>
        <v>5.5500000715255739E-3</v>
      </c>
      <c r="B13" s="25">
        <f>B12/100</f>
        <v>5.5250000953674314E-3</v>
      </c>
      <c r="C13" s="25">
        <f>C12/100</f>
        <v>5.5000001192092897E-3</v>
      </c>
      <c r="G13" s="57" t="s">
        <v>98</v>
      </c>
      <c r="H13" s="58"/>
      <c r="I13" s="59"/>
      <c r="J13" s="57" t="s">
        <v>41</v>
      </c>
      <c r="K13" s="58"/>
      <c r="L13" s="59"/>
      <c r="M13" s="57" t="s">
        <v>47</v>
      </c>
      <c r="N13" s="60"/>
      <c r="O13" s="61"/>
      <c r="V13" s="8"/>
    </row>
    <row r="14" spans="1:22" x14ac:dyDescent="0.25">
      <c r="G14" s="10" t="s">
        <v>3</v>
      </c>
      <c r="H14" s="10" t="s">
        <v>4</v>
      </c>
      <c r="I14" s="10" t="s">
        <v>5</v>
      </c>
      <c r="J14" s="10" t="s">
        <v>11</v>
      </c>
      <c r="K14" s="10" t="s">
        <v>12</v>
      </c>
      <c r="L14" s="10" t="s">
        <v>13</v>
      </c>
      <c r="U14" s="13"/>
      <c r="V14" s="8"/>
    </row>
    <row r="15" spans="1:22" x14ac:dyDescent="0.25">
      <c r="E15" s="3" t="s">
        <v>23</v>
      </c>
      <c r="G15" s="21">
        <f>_xll.BDP($B$1,G14)</f>
        <v>0.56492797915247939</v>
      </c>
      <c r="H15" s="21">
        <f>_xll.BDP($B$1,H14)</f>
        <v>0.56237326428299717</v>
      </c>
      <c r="I15" s="21">
        <f>_xll.BDP($B$1,I14)</f>
        <v>0.55981864027387895</v>
      </c>
      <c r="J15" s="21">
        <f>_xll.BDP($B$1,J14)</f>
        <v>0.56462690000000004</v>
      </c>
      <c r="K15" s="21">
        <f>_xll.BDP($B$1,K14)</f>
        <v>0.5620733</v>
      </c>
      <c r="L15" s="21">
        <f>_xll.BDP($B$1,L14)</f>
        <v>0.55951980000000001</v>
      </c>
      <c r="U15" s="13"/>
      <c r="V15" s="4"/>
    </row>
    <row r="16" spans="1:22" x14ac:dyDescent="0.25">
      <c r="R16" s="10"/>
    </row>
    <row r="17" spans="1:22" x14ac:dyDescent="0.25">
      <c r="A17" s="5" t="s">
        <v>40</v>
      </c>
      <c r="C17" s="3"/>
      <c r="E17" s="3" t="s">
        <v>24</v>
      </c>
      <c r="G17" s="22">
        <f>IF($C$19&gt;182,(-$C$28+SQRT($C$28^2-(2*$C$28-1)*(1-1/G7)))/($C$28-0.5),(1/G7-1)/$C$28)</f>
        <v>5.6492797915247937E-3</v>
      </c>
      <c r="H17" s="22">
        <f>IF($C$19&gt;182,(-$C$28+SQRT($C$28^2-(2*$C$28-1)*(1-1/H7)))/($C$28-0.5),(1/H7-1)/$C$28)</f>
        <v>5.6237326428299718E-3</v>
      </c>
      <c r="I17" s="22">
        <f>IF($C$19&gt;182,(-$C$28+SQRT($C$28^2-(2*$C$28-1)*(1-1/I7)))/($C$28-0.5),(1/I7-1)/$C$28)</f>
        <v>5.5981864027387892E-3</v>
      </c>
      <c r="J17" s="22">
        <f>IF(DATEVALUE($C$6)&lt;EDATE($C$7,-6),(G7^(-$C$23/($C$24+$C$23))-1)*2,(1/G7-1)*(2*$C$22/$C$19))</f>
        <v>5.6462689296195023E-3</v>
      </c>
      <c r="K17" s="22">
        <f t="shared" ref="K17:L17" si="8">IF(DATEVALUE($C$6)&lt;EDATE($C$7,-6),(H7^(-$C$23/($C$24+$C$23))-1)*2,(1/H7-1)*(2*$C$22/$C$19))</f>
        <v>5.6207330613853301E-3</v>
      </c>
      <c r="L17" s="22">
        <f t="shared" si="8"/>
        <v>5.5951981225557113E-3</v>
      </c>
      <c r="M17" s="22">
        <f t="shared" ref="M17:N17" si="9">IF($C$6&lt;EDATE($C$7,-6),(-$C$24-$C$22+SQRT(($C$24+$C$22)^2-4*$C$24*$C$22*(1-1/G7)))/($C$24*$C$22/180),J7)</f>
        <v>5.5791581471679851E-3</v>
      </c>
      <c r="N17" s="22">
        <f t="shared" si="9"/>
        <v>5.5538953937135302E-3</v>
      </c>
      <c r="O17" s="22">
        <f>IF($C$6&lt;EDATE($C$7,-6),(-$C$24-$C$22+SQRT(($C$24+$C$22)^2-4*$C$24*$C$22*(1-1/I7)))/($C$24*$C$22/180),L7)</f>
        <v>5.5286338359050334E-3</v>
      </c>
    </row>
    <row r="18" spans="1:22" x14ac:dyDescent="0.25">
      <c r="A18" s="3" t="s">
        <v>27</v>
      </c>
      <c r="C18" s="16">
        <f>EDATE(C5,12)-C5</f>
        <v>365</v>
      </c>
      <c r="G18" s="22"/>
      <c r="H18" s="22"/>
      <c r="I18" s="22" t="s">
        <v>42</v>
      </c>
      <c r="J18" s="22"/>
      <c r="V18" s="15"/>
    </row>
    <row r="19" spans="1:22" s="10" customFormat="1" x14ac:dyDescent="0.25">
      <c r="A19" s="3" t="s">
        <v>28</v>
      </c>
      <c r="B19" s="3"/>
      <c r="C19" s="16">
        <f>C7-C6</f>
        <v>339</v>
      </c>
      <c r="E19" s="3"/>
      <c r="G19" s="22"/>
      <c r="H19" s="22"/>
      <c r="I19" s="22"/>
      <c r="R19" s="3"/>
    </row>
    <row r="20" spans="1:22" x14ac:dyDescent="0.25">
      <c r="A20" s="3" t="s">
        <v>52</v>
      </c>
      <c r="C20" s="8">
        <f>EDATE(C7,-6)</f>
        <v>42783</v>
      </c>
      <c r="E20" s="3" t="s">
        <v>25</v>
      </c>
      <c r="G20" s="22">
        <f>TBILLEQ($C$6,$C$7,A13)</f>
        <v>5.6492797915247937E-3</v>
      </c>
      <c r="H20" s="22">
        <f>TBILLEQ($C$6,$C$7,B13)</f>
        <v>5.6237326428299718E-3</v>
      </c>
      <c r="I20" s="22">
        <f>TBILLEQ($C$6,$C$7,C13)</f>
        <v>5.5981864027387892E-3</v>
      </c>
    </row>
    <row r="21" spans="1:22" x14ac:dyDescent="0.25">
      <c r="A21" s="3" t="s">
        <v>53</v>
      </c>
      <c r="C21" s="8">
        <f>EDATE(C20,-6)</f>
        <v>42599</v>
      </c>
    </row>
    <row r="22" spans="1:22" x14ac:dyDescent="0.25">
      <c r="A22" s="3" t="s">
        <v>54</v>
      </c>
      <c r="C22" s="16">
        <f>C7-C20</f>
        <v>181</v>
      </c>
    </row>
    <row r="23" spans="1:22" x14ac:dyDescent="0.25">
      <c r="A23" s="3" t="s">
        <v>55</v>
      </c>
      <c r="C23" s="16">
        <f>MAX(C20-C21,0)</f>
        <v>184</v>
      </c>
      <c r="G23" s="57" t="s">
        <v>50</v>
      </c>
      <c r="H23" s="60"/>
      <c r="I23" s="61"/>
      <c r="J23" s="57" t="s">
        <v>51</v>
      </c>
      <c r="K23" s="60"/>
      <c r="L23" s="61"/>
    </row>
    <row r="24" spans="1:22" x14ac:dyDescent="0.25">
      <c r="A24" s="3" t="s">
        <v>45</v>
      </c>
      <c r="C24" s="16">
        <f>MAX(C20-C6,0)</f>
        <v>158</v>
      </c>
      <c r="G24" s="19" t="s">
        <v>56</v>
      </c>
      <c r="H24" s="19" t="s">
        <v>57</v>
      </c>
      <c r="I24" s="19" t="s">
        <v>58</v>
      </c>
      <c r="J24" s="19" t="s">
        <v>56</v>
      </c>
      <c r="K24" s="19" t="s">
        <v>57</v>
      </c>
      <c r="L24" s="19" t="s">
        <v>58</v>
      </c>
    </row>
    <row r="25" spans="1:22" x14ac:dyDescent="0.25">
      <c r="E25" s="3" t="s">
        <v>24</v>
      </c>
      <c r="G25" s="21">
        <f t="shared" ref="G25:H25" si="10">IF($C$19&gt;182,-((2*$C$28-1)*G17/2 + $C$28)*G7^2,-$C$28*G7^2)</f>
        <v>-0.92148152615645162</v>
      </c>
      <c r="H25" s="21">
        <f t="shared" si="10"/>
        <v>-0.92151430089701469</v>
      </c>
      <c r="I25" s="21">
        <f>IF($C$19&gt;182,-((2*$C$28-1)*I17/2 + $C$28)*I7^2,-$C$28*I7^2)</f>
        <v>-0.92154707602915387</v>
      </c>
      <c r="J25" s="21">
        <f>IF($C$19&gt;182,-2*G7*G25*((2*$C$28-1)*G17/2+$C$28)-(2*$C$28-1)*G7^2/2,$C$28^2*2*G7^3)</f>
        <v>1.2828814020112871</v>
      </c>
      <c r="K25" s="21">
        <f t="shared" ref="K25" si="11">IF($C$19&gt;182,-2*H7*H25*((2*$C$28-1)*H17/2+$C$28)-(2*$C$28-1)*H7^2/2,$C$28^2*2*H7^3)</f>
        <v>1.2829423587676363</v>
      </c>
      <c r="L25" s="21">
        <f>IF($C$19&gt;182,-2*I7*I25*((2*$C$28-1)*I17/2+$C$28)-(2*$C$28-1)*I7^2/2,$C$28^2*2*I7^3)</f>
        <v>1.2830033169833153</v>
      </c>
    </row>
    <row r="26" spans="1:22" x14ac:dyDescent="0.25">
      <c r="A26" s="5" t="s">
        <v>44</v>
      </c>
      <c r="C26" s="3"/>
    </row>
    <row r="27" spans="1:22" s="10" customFormat="1" x14ac:dyDescent="0.25">
      <c r="A27" s="3" t="s">
        <v>36</v>
      </c>
      <c r="B27" s="3"/>
      <c r="C27" s="18">
        <f>($C$7-$C$6)/360</f>
        <v>0.94166666666666665</v>
      </c>
    </row>
    <row r="28" spans="1:22" x14ac:dyDescent="0.25">
      <c r="A28" s="3" t="s">
        <v>37</v>
      </c>
      <c r="C28" s="18">
        <f>($C$7-$C$6)/$C$18</f>
        <v>0.92876712328767119</v>
      </c>
    </row>
    <row r="29" spans="1:22" x14ac:dyDescent="0.25">
      <c r="A29" s="3" t="s">
        <v>46</v>
      </c>
      <c r="C29" s="18">
        <f>C18/360</f>
        <v>1.0138888888888888</v>
      </c>
      <c r="G29" s="57" t="s">
        <v>49</v>
      </c>
      <c r="H29" s="58"/>
      <c r="I29" s="59"/>
      <c r="J29" s="57" t="s">
        <v>48</v>
      </c>
      <c r="K29" s="58"/>
      <c r="L29" s="59"/>
      <c r="M29" s="57" t="s">
        <v>93</v>
      </c>
      <c r="N29" s="58"/>
      <c r="O29" s="59"/>
    </row>
    <row r="30" spans="1:22" x14ac:dyDescent="0.25">
      <c r="G30" s="10" t="s">
        <v>8</v>
      </c>
      <c r="H30" s="10" t="s">
        <v>9</v>
      </c>
      <c r="I30" s="10" t="s">
        <v>10</v>
      </c>
      <c r="J30" s="10" t="s">
        <v>17</v>
      </c>
      <c r="K30" s="10" t="s">
        <v>18</v>
      </c>
      <c r="L30" s="10" t="s">
        <v>19</v>
      </c>
      <c r="M30" s="10" t="s">
        <v>20</v>
      </c>
      <c r="N30" s="10" t="s">
        <v>21</v>
      </c>
      <c r="O30" s="10" t="s">
        <v>22</v>
      </c>
    </row>
    <row r="31" spans="1:22" x14ac:dyDescent="0.25">
      <c r="E31" s="3" t="s">
        <v>23</v>
      </c>
      <c r="G31" s="21">
        <f>_xll.BDP($B$1,G30)</f>
        <v>0.92876712328767119</v>
      </c>
      <c r="H31" s="21">
        <f>_xll.BDP($B$1,H30)</f>
        <v>0.92876712328767119</v>
      </c>
      <c r="I31" s="21">
        <f>_xll.BDP($B$1,I30)</f>
        <v>0.92876712328767119</v>
      </c>
      <c r="J31" s="21">
        <f>_xll.BDP($B$1,J30)</f>
        <v>0.92632271835939017</v>
      </c>
      <c r="K31" s="21">
        <f>_xll.BDP($B$1,K30)</f>
        <v>0.92633374330022378</v>
      </c>
      <c r="L31" s="21">
        <f>_xll.BDP($B$1,L30)</f>
        <v>0.92634476811281175</v>
      </c>
      <c r="M31" s="21">
        <f>_xll.BDP($B$1,M30)</f>
        <v>1.2896212969345655E-2</v>
      </c>
      <c r="N31" s="21">
        <f>_xll.BDP($B$1,N30)</f>
        <v>1.2896520331855911E-2</v>
      </c>
      <c r="O31" s="21">
        <f>_xll.BDP($B$1,O30)</f>
        <v>1.2896827965515952E-2</v>
      </c>
    </row>
    <row r="33" spans="2:15" x14ac:dyDescent="0.25">
      <c r="E33" s="3" t="s">
        <v>24</v>
      </c>
      <c r="G33" s="21">
        <f t="shared" ref="G33:H33" si="12">$C$28</f>
        <v>0.92876712328767119</v>
      </c>
      <c r="H33" s="21">
        <f t="shared" si="12"/>
        <v>0.92876712328767119</v>
      </c>
      <c r="I33" s="21">
        <f>$C$28</f>
        <v>0.92876712328767119</v>
      </c>
      <c r="J33" s="21">
        <f t="shared" ref="J33:K33" si="13">-G25/G7</f>
        <v>0.9263227203359985</v>
      </c>
      <c r="K33" s="21">
        <f t="shared" si="13"/>
        <v>0.92633374527619983</v>
      </c>
      <c r="L33" s="21">
        <f>-I25/I7</f>
        <v>0.92634477008822302</v>
      </c>
      <c r="M33" s="23">
        <f t="shared" ref="M33:N33" si="14">J25/G7</f>
        <v>1.2896212853406588</v>
      </c>
      <c r="N33" s="23">
        <f t="shared" si="14"/>
        <v>1.2896520423110849</v>
      </c>
      <c r="O33" s="23">
        <f>L25/I7</f>
        <v>1.2896827992927595</v>
      </c>
    </row>
    <row r="34" spans="2:15" x14ac:dyDescent="0.25">
      <c r="G34" s="11"/>
      <c r="H34" s="11"/>
      <c r="I34" s="11"/>
      <c r="L34" s="11"/>
      <c r="M34" s="23"/>
      <c r="N34" s="23"/>
      <c r="O34" s="23"/>
    </row>
    <row r="35" spans="2:15" x14ac:dyDescent="0.25">
      <c r="G35" s="11"/>
      <c r="H35" s="11"/>
      <c r="I35" s="11"/>
      <c r="L35" s="11"/>
      <c r="O35" s="10"/>
    </row>
    <row r="36" spans="2:15" x14ac:dyDescent="0.25">
      <c r="E36" s="3" t="s">
        <v>25</v>
      </c>
      <c r="G36" s="21">
        <f t="shared" ref="G36:H36" si="15">DURATION($C$6,$C$7,0,A13/100,1,3)</f>
        <v>0.9287671232876713</v>
      </c>
      <c r="H36" s="21">
        <f t="shared" si="15"/>
        <v>0.9287671232876713</v>
      </c>
      <c r="I36" s="21">
        <f>DURATION($C$6,$C$7,0,C13/100,1,3)</f>
        <v>0.9287671232876713</v>
      </c>
      <c r="J36" s="26">
        <f t="shared" ref="J36:K36" si="16">MDURATION($C$6,$C$7,0,G20,1,3)</f>
        <v>0.92354973244768634</v>
      </c>
      <c r="K36" s="26">
        <f t="shared" si="16"/>
        <v>0.92357319456535136</v>
      </c>
      <c r="L36" s="26">
        <f>MDURATION($C$6,$C$7,0,I20,1,3)</f>
        <v>0.92359665704061145</v>
      </c>
    </row>
    <row r="37" spans="2:15" x14ac:dyDescent="0.25">
      <c r="J37" s="26">
        <f t="shared" ref="J37:K37" si="17">G36/(1+G17)</f>
        <v>0.92354973244768646</v>
      </c>
      <c r="K37" s="26">
        <f t="shared" si="17"/>
        <v>0.92357319456535147</v>
      </c>
      <c r="L37" s="26">
        <f>I36/(1+I17)</f>
        <v>0.92359665704061156</v>
      </c>
      <c r="O37" s="11"/>
    </row>
    <row r="38" spans="2:15" x14ac:dyDescent="0.25">
      <c r="J38" s="11"/>
      <c r="K38" s="11"/>
      <c r="L38" s="11"/>
      <c r="O38" s="11"/>
    </row>
    <row r="39" spans="2:15" x14ac:dyDescent="0.25">
      <c r="O39" s="11"/>
    </row>
    <row r="40" spans="2:15" x14ac:dyDescent="0.25">
      <c r="B40" s="46"/>
      <c r="C40" s="8"/>
    </row>
    <row r="41" spans="2:15" x14ac:dyDescent="0.25">
      <c r="B41" s="45"/>
      <c r="C41" s="8"/>
    </row>
    <row r="42" spans="2:15" x14ac:dyDescent="0.25">
      <c r="B42" s="4"/>
      <c r="C42" s="4"/>
    </row>
    <row r="44" spans="2:15" x14ac:dyDescent="0.25">
      <c r="C44" s="8"/>
    </row>
  </sheetData>
  <mergeCells count="11">
    <mergeCell ref="G3:I3"/>
    <mergeCell ref="J3:L3"/>
    <mergeCell ref="M3:O3"/>
    <mergeCell ref="G13:I13"/>
    <mergeCell ref="J13:L13"/>
    <mergeCell ref="M13:O13"/>
    <mergeCell ref="G23:I23"/>
    <mergeCell ref="J23:L23"/>
    <mergeCell ref="G29:I29"/>
    <mergeCell ref="J29:L29"/>
    <mergeCell ref="M29:O29"/>
  </mergeCells>
  <pageMargins left="0.7" right="0.7" top="0.75" bottom="0.75" header="0.3" footer="0.3"/>
  <pageSetup orientation="portrait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opLeftCell="A22" zoomScale="90" zoomScaleNormal="90" zoomScalePageLayoutView="85" workbookViewId="0">
      <selection activeCell="D47" sqref="D47"/>
    </sheetView>
  </sheetViews>
  <sheetFormatPr defaultColWidth="8.85546875" defaultRowHeight="15" x14ac:dyDescent="0.25"/>
  <cols>
    <col min="1" max="1" width="20.5703125" style="3" bestFit="1" customWidth="1"/>
    <col min="2" max="2" width="14.28515625" style="3" customWidth="1"/>
    <col min="3" max="3" width="10.7109375" style="2" customWidth="1"/>
    <col min="4" max="6" width="10.85546875" style="2" customWidth="1"/>
    <col min="7" max="8" width="12.42578125" style="2" customWidth="1"/>
    <col min="9" max="9" width="4.5703125" style="2" customWidth="1"/>
    <col min="10" max="10" width="10.85546875" style="2" customWidth="1"/>
    <col min="11" max="11" width="12.28515625" style="2" customWidth="1"/>
    <col min="12" max="12" width="12.28515625" style="19" customWidth="1"/>
    <col min="13" max="15" width="12.28515625" style="3" customWidth="1"/>
    <col min="16" max="16" width="12.140625" style="3" customWidth="1"/>
    <col min="17" max="16384" width="8.85546875" style="3"/>
  </cols>
  <sheetData>
    <row r="1" spans="1:16" x14ac:dyDescent="0.25">
      <c r="A1" s="1" t="s">
        <v>31</v>
      </c>
      <c r="B1" s="3" t="s">
        <v>95</v>
      </c>
    </row>
    <row r="2" spans="1:16" x14ac:dyDescent="0.25">
      <c r="A2" s="4"/>
    </row>
    <row r="3" spans="1:16" x14ac:dyDescent="0.25">
      <c r="A3" s="5" t="s">
        <v>30</v>
      </c>
      <c r="L3" s="2"/>
      <c r="M3" s="2"/>
      <c r="N3" s="2"/>
      <c r="O3" s="2"/>
      <c r="P3" s="2"/>
    </row>
    <row r="4" spans="1:16" x14ac:dyDescent="0.25">
      <c r="A4" s="3" t="s">
        <v>35</v>
      </c>
      <c r="B4" s="8"/>
      <c r="L4" s="8"/>
      <c r="M4" s="2"/>
      <c r="N4" s="23"/>
      <c r="O4" s="23"/>
      <c r="P4" s="23"/>
    </row>
    <row r="5" spans="1:16" x14ac:dyDescent="0.25">
      <c r="A5" s="3" t="s">
        <v>29</v>
      </c>
      <c r="B5" s="8">
        <v>39583</v>
      </c>
      <c r="C5" s="8"/>
      <c r="L5" s="8"/>
      <c r="M5" s="2"/>
      <c r="N5" s="23"/>
      <c r="O5" s="23"/>
      <c r="P5" s="23"/>
    </row>
    <row r="6" spans="1:16" x14ac:dyDescent="0.25">
      <c r="A6" s="13" t="s">
        <v>2</v>
      </c>
      <c r="B6" s="8">
        <v>39626</v>
      </c>
      <c r="C6" s="8"/>
      <c r="L6" s="8"/>
      <c r="M6" s="2"/>
      <c r="N6" s="23"/>
      <c r="O6" s="23"/>
      <c r="P6" s="23"/>
    </row>
    <row r="7" spans="1:16" x14ac:dyDescent="0.25">
      <c r="A7" s="13" t="s">
        <v>6</v>
      </c>
      <c r="B7" s="8">
        <v>43235</v>
      </c>
      <c r="C7" s="8"/>
      <c r="L7" s="8"/>
      <c r="M7" s="2"/>
      <c r="N7" s="23"/>
      <c r="O7" s="23"/>
      <c r="P7" s="23"/>
    </row>
    <row r="8" spans="1:16" x14ac:dyDescent="0.25">
      <c r="A8" s="13" t="s">
        <v>63</v>
      </c>
      <c r="B8" s="40">
        <v>3.875E-2</v>
      </c>
      <c r="L8" s="8"/>
      <c r="M8" s="2"/>
      <c r="N8" s="23"/>
      <c r="O8" s="23"/>
      <c r="P8" s="23"/>
    </row>
    <row r="9" spans="1:16" x14ac:dyDescent="0.25">
      <c r="A9" s="3" t="s">
        <v>64</v>
      </c>
      <c r="B9" s="8">
        <v>39767</v>
      </c>
      <c r="L9" s="8"/>
      <c r="M9" s="2"/>
      <c r="N9" s="23"/>
      <c r="O9" s="23"/>
      <c r="P9" s="23"/>
    </row>
    <row r="10" spans="1:16" x14ac:dyDescent="0.25">
      <c r="A10" s="3" t="s">
        <v>66</v>
      </c>
      <c r="B10" s="8">
        <f>COUPNCD($B$6,$B$7,2,1)</f>
        <v>39767</v>
      </c>
      <c r="L10" s="8"/>
      <c r="M10" s="8"/>
      <c r="N10" s="23"/>
      <c r="O10" s="23"/>
      <c r="P10" s="23"/>
    </row>
    <row r="11" spans="1:16" x14ac:dyDescent="0.25">
      <c r="A11" s="3" t="s">
        <v>67</v>
      </c>
      <c r="B11" s="8">
        <f>COUPPCD($B$6,$B$7,2,1)</f>
        <v>39583</v>
      </c>
      <c r="L11" s="8"/>
      <c r="M11" s="2"/>
      <c r="N11" s="23"/>
      <c r="O11" s="23"/>
      <c r="P11" s="23"/>
    </row>
    <row r="12" spans="1:16" x14ac:dyDescent="0.25">
      <c r="A12" s="3" t="s">
        <v>68</v>
      </c>
      <c r="B12" s="3">
        <f>COUPDAYBS($B$6,$B$7,2,1)</f>
        <v>43</v>
      </c>
      <c r="C12" s="2">
        <f>B6-B11</f>
        <v>43</v>
      </c>
      <c r="L12" s="8"/>
      <c r="M12" s="2"/>
      <c r="N12" s="23"/>
      <c r="O12" s="23"/>
      <c r="P12" s="23"/>
    </row>
    <row r="13" spans="1:16" x14ac:dyDescent="0.25">
      <c r="A13" s="3" t="s">
        <v>69</v>
      </c>
      <c r="B13" s="3">
        <f>COUPDAYS($B$6,$B$7,2,1)</f>
        <v>184</v>
      </c>
      <c r="C13" s="2">
        <f>B9-B5</f>
        <v>184</v>
      </c>
      <c r="D13" s="3"/>
      <c r="L13" s="8"/>
      <c r="M13" s="2"/>
      <c r="N13" s="23"/>
      <c r="O13" s="23"/>
      <c r="P13" s="23"/>
    </row>
    <row r="14" spans="1:16" x14ac:dyDescent="0.25">
      <c r="A14" s="3" t="s">
        <v>104</v>
      </c>
      <c r="B14" s="18">
        <f>C12/C13</f>
        <v>0.23369565217391305</v>
      </c>
      <c r="D14" s="18"/>
      <c r="L14" s="8"/>
      <c r="M14" s="2"/>
      <c r="N14" s="23"/>
      <c r="O14" s="23"/>
      <c r="P14" s="23"/>
    </row>
    <row r="15" spans="1:16" x14ac:dyDescent="0.25">
      <c r="A15" s="3" t="s">
        <v>70</v>
      </c>
      <c r="B15" s="18">
        <f>$B$14*100*$B$8/2</f>
        <v>0.45278532608695654</v>
      </c>
      <c r="C15" s="18">
        <f>ACCRINT($B$5,$B$9,$B$6,$B$8,100,2,1)</f>
        <v>0.45278532608695654</v>
      </c>
      <c r="L15" s="8"/>
      <c r="M15" s="2"/>
      <c r="N15" s="23"/>
      <c r="O15" s="23"/>
      <c r="P15" s="23"/>
    </row>
    <row r="16" spans="1:16" x14ac:dyDescent="0.25">
      <c r="A16" s="5" t="s">
        <v>32</v>
      </c>
      <c r="C16" s="3"/>
      <c r="L16" s="8"/>
      <c r="M16" s="2"/>
      <c r="N16" s="23"/>
      <c r="O16" s="23"/>
      <c r="P16" s="23"/>
    </row>
    <row r="17" spans="1:16" x14ac:dyDescent="0.25">
      <c r="A17" s="3" t="s">
        <v>59</v>
      </c>
      <c r="B17" s="27" t="s">
        <v>96</v>
      </c>
      <c r="C17" s="13">
        <f>DOLLARFR(B18,32)</f>
        <v>98.22</v>
      </c>
      <c r="L17" s="8"/>
      <c r="M17" s="8"/>
      <c r="N17" s="23"/>
      <c r="O17" s="23"/>
      <c r="P17" s="23"/>
    </row>
    <row r="18" spans="1:16" s="10" customFormat="1" x14ac:dyDescent="0.25">
      <c r="A18" s="3" t="s">
        <v>61</v>
      </c>
      <c r="B18" s="23">
        <f>(98+22/32)</f>
        <v>98.6875</v>
      </c>
      <c r="C18" s="23">
        <f>DOLLARDE(C17,32)</f>
        <v>98.6875</v>
      </c>
      <c r="L18" s="29"/>
    </row>
    <row r="19" spans="1:16" x14ac:dyDescent="0.25">
      <c r="A19" s="3" t="s">
        <v>62</v>
      </c>
      <c r="B19" s="23">
        <f>B18+B15</f>
        <v>99.140285326086953</v>
      </c>
    </row>
    <row r="20" spans="1:16" x14ac:dyDescent="0.25">
      <c r="A20" s="28" t="s">
        <v>65</v>
      </c>
      <c r="B20" s="21">
        <f>YIELD(B6,B7,B8,B18,100,2,1)</f>
        <v>4.0369414639322095E-2</v>
      </c>
      <c r="D20" s="3"/>
      <c r="E20" s="3"/>
      <c r="F20" s="3"/>
      <c r="G20" s="3"/>
      <c r="H20" s="3"/>
      <c r="I20" s="3"/>
      <c r="J20" s="3"/>
    </row>
    <row r="21" spans="1:16" x14ac:dyDescent="0.25">
      <c r="A21" s="28"/>
      <c r="B21" s="21"/>
      <c r="D21" s="3"/>
      <c r="E21" s="3"/>
      <c r="F21" s="3"/>
      <c r="G21" s="3"/>
      <c r="H21" s="3"/>
      <c r="I21" s="3"/>
      <c r="J21" s="3"/>
    </row>
    <row r="22" spans="1:16" x14ac:dyDescent="0.25">
      <c r="A22" s="28" t="s">
        <v>103</v>
      </c>
      <c r="B22" s="21"/>
      <c r="D22" s="3"/>
      <c r="E22" s="3"/>
      <c r="F22" s="3"/>
      <c r="G22" s="3"/>
      <c r="H22" s="3"/>
      <c r="I22" s="3"/>
      <c r="J22" s="3"/>
    </row>
    <row r="23" spans="1:16" x14ac:dyDescent="0.25">
      <c r="A23" s="28"/>
      <c r="B23" s="21"/>
      <c r="C23" s="62" t="s">
        <v>102</v>
      </c>
      <c r="D23" s="63"/>
      <c r="E23" s="63"/>
      <c r="F23" s="63"/>
      <c r="G23" s="63"/>
      <c r="H23" s="64"/>
      <c r="I23" s="3"/>
      <c r="J23" s="62" t="s">
        <v>105</v>
      </c>
      <c r="K23" s="63"/>
      <c r="L23" s="63"/>
      <c r="M23" s="63"/>
      <c r="N23" s="63"/>
      <c r="O23" s="64"/>
    </row>
    <row r="24" spans="1:16" x14ac:dyDescent="0.25">
      <c r="A24" s="28"/>
      <c r="B24" s="21"/>
      <c r="D24" s="41" t="s">
        <v>101</v>
      </c>
      <c r="E24" s="41"/>
      <c r="F24" s="41"/>
      <c r="G24" s="41"/>
      <c r="H24" s="41"/>
      <c r="I24" s="41"/>
      <c r="J24" s="41"/>
      <c r="K24" s="2" t="s">
        <v>101</v>
      </c>
    </row>
    <row r="25" spans="1:16" x14ac:dyDescent="0.25">
      <c r="D25" s="50">
        <v>4.0369414753646991E-2</v>
      </c>
      <c r="E25" s="41"/>
      <c r="F25" s="41"/>
      <c r="G25" s="41"/>
      <c r="H25" s="41"/>
      <c r="I25" s="41"/>
      <c r="J25" s="41"/>
      <c r="K25" s="50">
        <v>4.0365012812329043E-2</v>
      </c>
    </row>
    <row r="26" spans="1:16" x14ac:dyDescent="0.25">
      <c r="A26" s="2" t="s">
        <v>35</v>
      </c>
      <c r="B26" s="2" t="s">
        <v>81</v>
      </c>
      <c r="C26" s="2" t="s">
        <v>97</v>
      </c>
      <c r="D26" s="2" t="s">
        <v>106</v>
      </c>
      <c r="E26" s="2" t="s">
        <v>107</v>
      </c>
      <c r="F26" s="2" t="s">
        <v>108</v>
      </c>
      <c r="G26" s="2" t="s">
        <v>99</v>
      </c>
      <c r="H26" s="2" t="s">
        <v>100</v>
      </c>
      <c r="J26" s="2" t="s">
        <v>97</v>
      </c>
      <c r="K26" s="2" t="s">
        <v>106</v>
      </c>
      <c r="L26" s="2" t="s">
        <v>107</v>
      </c>
      <c r="M26" s="2" t="s">
        <v>108</v>
      </c>
      <c r="N26" s="2" t="s">
        <v>99</v>
      </c>
      <c r="O26" s="2" t="s">
        <v>100</v>
      </c>
    </row>
    <row r="27" spans="1:16" x14ac:dyDescent="0.25">
      <c r="A27" s="4">
        <f>B10</f>
        <v>39767</v>
      </c>
      <c r="B27" s="3">
        <f>$B$8/2</f>
        <v>1.9375E-2</v>
      </c>
      <c r="C27" s="18">
        <f>($B$13-$B$12)/$B$13</f>
        <v>0.76630434782608692</v>
      </c>
      <c r="D27" s="18">
        <f t="shared" ref="D27:D46" si="0">B27*(1+$D$25/2)^(-C27)</f>
        <v>1.9080559350902623E-2</v>
      </c>
      <c r="E27" s="18">
        <f>(D27/$D$47)*C27/2</f>
        <v>7.3741544897634832E-3</v>
      </c>
      <c r="F27" s="18">
        <f>(D27/$D$47)*(C27/2)^2</f>
        <v>2.8254233235235084E-3</v>
      </c>
      <c r="G27" s="18">
        <f>(B27/$D$47)*(C27/2)*(1+$D$25/2)^(-C27-1)</f>
        <v>7.2282542920335171E-3</v>
      </c>
      <c r="H27" s="18">
        <f>(B27/$D$47)*(C27*(C27+1)/4)*(1+$D$25/2)^(-C27-2)</f>
        <v>6.25734579772305E-3</v>
      </c>
      <c r="I27" s="18"/>
      <c r="J27" s="16">
        <v>0</v>
      </c>
      <c r="K27" s="18">
        <f>B27/(1+$K$25/2*$C$27)*(1+$K$25/2)^(-J27)</f>
        <v>1.9079911192329234E-2</v>
      </c>
      <c r="L27" s="18">
        <f>(K27/$K$47)*C27/2</f>
        <v>7.3739040341603565E-3</v>
      </c>
      <c r="M27" s="18">
        <f>(K27/$K$47)*(C27/2)^2</f>
        <v>2.8253273609147021E-3</v>
      </c>
      <c r="N27" s="18">
        <f>(B27/$K$47)*((1+$K$25/2*$C$27)^(-2)*$C$27/2*(1+$K$25/2)^(-J27)  + J27/2*(1+$K$25/2*$C$27)^(-1)*(1+$K$25/2)^(-J27-1))</f>
        <v>7.2615965993567929E-3</v>
      </c>
      <c r="O27" s="40">
        <f>(B27/$K$47)*( 2*(1+$K$25/2*$C$27)^(-3)*($C$27/2)^2*(1+$K$25/2)^(-J27) + J27/2*(1+$K$25/2*$C$27)^(-2)*$C$27/2*(1+$K$25/2)^(-J27-1)  + J27*(J27+1)/4 * (1+$K$25/2*$C$27)^(-1)*(1+$K$25/2)^(-J27-2)  )</f>
        <v>5.4798421235525679E-3</v>
      </c>
    </row>
    <row r="28" spans="1:16" x14ac:dyDescent="0.25">
      <c r="A28" s="4">
        <f>EDATE(A27,6)</f>
        <v>39948</v>
      </c>
      <c r="B28" s="3">
        <f t="shared" ref="B28:B45" si="1">$B$8/2</f>
        <v>1.9375E-2</v>
      </c>
      <c r="C28" s="18">
        <f>C27+1</f>
        <v>1.7663043478260869</v>
      </c>
      <c r="D28" s="18">
        <f t="shared" si="0"/>
        <v>1.8703043883067025E-2</v>
      </c>
      <c r="E28" s="18">
        <f t="shared" ref="E28:E46" si="2">(D28/$D$47)*C28/2</f>
        <v>1.6660869822063072E-2</v>
      </c>
      <c r="F28" s="18">
        <f t="shared" ref="F28:F46" si="3">(D28/$D$47)*(C28/2)^2</f>
        <v>1.4714083402637225E-2</v>
      </c>
      <c r="G28" s="18">
        <f t="shared" ref="G28:G46" si="4">(B28/$D$47)*(C28/2)*(1+$D$25/2)^(-C28-1)</f>
        <v>1.6331228748667256E-2</v>
      </c>
      <c r="H28" s="18">
        <f t="shared" ref="H28:H46" si="5">(B28/$D$47)*(C28*(C28+1)/4)*(1+$D$25/2)^(-C28-2)</f>
        <v>2.2141651784284993E-2</v>
      </c>
      <c r="I28" s="18"/>
      <c r="J28" s="16">
        <v>1</v>
      </c>
      <c r="K28" s="18">
        <f t="shared" ref="K28:K46" si="6">B28/(1+$K$25/2*$C$27)*(1+$K$25/2)^(-J28)</f>
        <v>1.8702448897641617E-2</v>
      </c>
      <c r="L28" s="18">
        <f t="shared" ref="L28:L46" si="7">(K28/$K$47)*C28/2</f>
        <v>1.666033989609907E-2</v>
      </c>
      <c r="M28" s="18">
        <f t="shared" ref="M28:M46" si="8">(K28/$K$47)*(C28/2)^2</f>
        <v>1.4713615397370101E-2</v>
      </c>
      <c r="N28" s="18">
        <f t="shared" ref="N28:N46" si="9">(B28/$K$47)*((1+$K$25/2*$C$27)^(-2)*$C$27/2*(1+$K$25/2)^(-J28)  + J28/2*(1+$K$25/2*$C$27)^(-1)*(1+$K$25/2)^(-J28-1))</f>
        <v>1.6363652586606218E-2</v>
      </c>
      <c r="O28" s="40">
        <f t="shared" ref="O28:O46" si="10">(B28/$K$47)*( 2*(1+$K$25/2*$C$27)^(-3)*($C$27/2)^2*(1+$K$25/2)^(-J28) + J28/2*(1+$K$25/2*$C$27)^(-2)*$C$27/2*(1+$K$25/2)^(-J28-1)  + J28*(J28+1)/4 * (1+$K$25/2*$C$27)^(-1)*(1+$K$25/2)^(-J28-2)  )</f>
        <v>1.7922798340417625E-2</v>
      </c>
    </row>
    <row r="29" spans="1:16" x14ac:dyDescent="0.25">
      <c r="A29" s="4">
        <f>EDATE(A28,6)</f>
        <v>40132</v>
      </c>
      <c r="B29" s="3">
        <f t="shared" si="1"/>
        <v>1.9375E-2</v>
      </c>
      <c r="C29" s="18">
        <f t="shared" ref="C29:C46" si="11">C28+1</f>
        <v>2.7663043478260869</v>
      </c>
      <c r="D29" s="18">
        <f t="shared" si="0"/>
        <v>1.8332997689367164E-2</v>
      </c>
      <c r="E29" s="18">
        <f t="shared" si="2"/>
        <v>2.557721671714348E-2</v>
      </c>
      <c r="F29" s="18">
        <f t="shared" si="3"/>
        <v>3.5377182904962043E-2</v>
      </c>
      <c r="G29" s="18">
        <f t="shared" si="4"/>
        <v>2.5071162635744236E-2</v>
      </c>
      <c r="H29" s="18">
        <f t="shared" si="5"/>
        <v>4.6278692553063654E-2</v>
      </c>
      <c r="I29" s="18"/>
      <c r="J29" s="16">
        <v>2</v>
      </c>
      <c r="K29" s="18">
        <f t="shared" si="6"/>
        <v>1.833245402680491E-2</v>
      </c>
      <c r="L29" s="18">
        <f t="shared" si="7"/>
        <v>2.5576458371574618E-2</v>
      </c>
      <c r="M29" s="18">
        <f t="shared" si="8"/>
        <v>3.5376133997639891E-2</v>
      </c>
      <c r="N29" s="18">
        <f t="shared" si="9"/>
        <v>2.5102730401238643E-2</v>
      </c>
      <c r="O29" s="40">
        <f t="shared" si="10"/>
        <v>3.8754798313095418E-2</v>
      </c>
    </row>
    <row r="30" spans="1:16" s="10" customFormat="1" x14ac:dyDescent="0.25">
      <c r="A30" s="4">
        <f t="shared" ref="A30:A46" si="12">EDATE(A29,6)</f>
        <v>40313</v>
      </c>
      <c r="B30" s="3">
        <f t="shared" si="1"/>
        <v>1.9375E-2</v>
      </c>
      <c r="C30" s="18">
        <f t="shared" si="11"/>
        <v>3.7663043478260869</v>
      </c>
      <c r="D30" s="18">
        <f t="shared" si="0"/>
        <v>1.7970272987630216E-2</v>
      </c>
      <c r="E30" s="18">
        <f t="shared" si="2"/>
        <v>3.4134215533537834E-2</v>
      </c>
      <c r="F30" s="18">
        <f t="shared" si="3"/>
        <v>6.427992218679815E-2</v>
      </c>
      <c r="G30" s="18">
        <f t="shared" si="4"/>
        <v>3.3458858270191405E-2</v>
      </c>
      <c r="H30" s="18">
        <f t="shared" si="5"/>
        <v>7.8159915794348972E-2</v>
      </c>
      <c r="I30" s="18"/>
      <c r="J30" s="16">
        <v>3</v>
      </c>
      <c r="K30" s="18">
        <f t="shared" si="6"/>
        <v>1.796977885004649E-2</v>
      </c>
      <c r="L30" s="18">
        <f t="shared" si="7"/>
        <v>3.4133277119220221E-2</v>
      </c>
      <c r="M30" s="18">
        <f t="shared" si="8"/>
        <v>6.4278155009835899E-2</v>
      </c>
      <c r="N30" s="18">
        <f t="shared" si="9"/>
        <v>3.348962947705994E-2</v>
      </c>
      <c r="O30" s="40">
        <f>(B30/$K$47)*( 2*(1+$K$25/2*$C$27)^(-3)*($C$27/2)^2*(1+$K$25/2)^(-J30) + J30/2*(1+$K$25/2*$C$27)^(-2)*$C$27/2*(1+$K$25/2)^(-J30-1)  + J30*(J30+1)/4 * (1+$K$25/2*$C$27)^(-1)*(1+$K$25/2)^(-J30-2)  )</f>
        <v>6.7463302803837139E-2</v>
      </c>
    </row>
    <row r="31" spans="1:16" x14ac:dyDescent="0.25">
      <c r="A31" s="4">
        <f t="shared" si="12"/>
        <v>40497</v>
      </c>
      <c r="B31" s="3">
        <f t="shared" si="1"/>
        <v>1.9375E-2</v>
      </c>
      <c r="C31" s="18">
        <f t="shared" si="11"/>
        <v>4.7663043478260869</v>
      </c>
      <c r="D31" s="18">
        <f t="shared" si="0"/>
        <v>1.7614724919604748E-2</v>
      </c>
      <c r="E31" s="18">
        <f t="shared" si="2"/>
        <v>4.2342595530963721E-2</v>
      </c>
      <c r="F31" s="18">
        <f t="shared" si="3"/>
        <v>0.1009088485887369</v>
      </c>
      <c r="G31" s="18">
        <f t="shared" si="4"/>
        <v>4.1504832629611001E-2</v>
      </c>
      <c r="H31" s="18">
        <f t="shared" si="5"/>
        <v>0.11729713997737826</v>
      </c>
      <c r="I31" s="18"/>
      <c r="J31" s="16">
        <v>4</v>
      </c>
      <c r="K31" s="18">
        <f t="shared" si="6"/>
        <v>1.7614278560165973E-2</v>
      </c>
      <c r="L31" s="18">
        <f t="shared" si="7"/>
        <v>4.2341522801317984E-2</v>
      </c>
      <c r="M31" s="18">
        <f t="shared" si="8"/>
        <v>0.10090629211074965</v>
      </c>
      <c r="N31" s="18">
        <f t="shared" si="9"/>
        <v>4.1534864013515457E-2</v>
      </c>
      <c r="O31" s="40">
        <f t="shared" si="10"/>
        <v>0.10355624546258604</v>
      </c>
    </row>
    <row r="32" spans="1:16" x14ac:dyDescent="0.25">
      <c r="A32" s="4">
        <f t="shared" si="12"/>
        <v>40678</v>
      </c>
      <c r="B32" s="3">
        <f t="shared" si="1"/>
        <v>1.9375E-2</v>
      </c>
      <c r="C32" s="18">
        <f t="shared" si="11"/>
        <v>5.7663043478260869</v>
      </c>
      <c r="D32" s="18">
        <f t="shared" si="0"/>
        <v>1.726621149310998E-2</v>
      </c>
      <c r="E32" s="18">
        <f t="shared" si="2"/>
        <v>5.0212802075276244E-2</v>
      </c>
      <c r="F32" s="18">
        <f t="shared" si="3"/>
        <v>0.14477114946159808</v>
      </c>
      <c r="G32" s="18">
        <f t="shared" si="4"/>
        <v>4.9219324414680951E-2</v>
      </c>
      <c r="H32" s="18">
        <f t="shared" si="5"/>
        <v>0.16322187853630843</v>
      </c>
      <c r="I32" s="18"/>
      <c r="J32" s="16">
        <v>5</v>
      </c>
      <c r="K32" s="18">
        <f t="shared" si="6"/>
        <v>1.7265811214717316E-2</v>
      </c>
      <c r="L32" s="18">
        <f t="shared" si="7"/>
        <v>5.0211638285445448E-2</v>
      </c>
      <c r="M32" s="18">
        <f t="shared" si="8"/>
        <v>0.14476779407841744</v>
      </c>
      <c r="N32" s="18">
        <f t="shared" si="9"/>
        <v>4.9248670034762861E-2</v>
      </c>
      <c r="O32" s="40">
        <f t="shared" si="10"/>
        <v>0.14656135460066347</v>
      </c>
    </row>
    <row r="33" spans="1:15" x14ac:dyDescent="0.25">
      <c r="A33" s="4">
        <f t="shared" si="12"/>
        <v>40862</v>
      </c>
      <c r="B33" s="3">
        <f t="shared" si="1"/>
        <v>1.9375E-2</v>
      </c>
      <c r="C33" s="18">
        <f t="shared" si="11"/>
        <v>6.7663043478260869</v>
      </c>
      <c r="D33" s="18">
        <f t="shared" si="0"/>
        <v>1.6924593525329518E-2</v>
      </c>
      <c r="E33" s="18">
        <f t="shared" si="2"/>
        <v>5.7755003672269357E-2</v>
      </c>
      <c r="F33" s="18">
        <f t="shared" si="3"/>
        <v>0.19539396622819388</v>
      </c>
      <c r="G33" s="18">
        <f t="shared" si="4"/>
        <v>5.6612300943790286E-2</v>
      </c>
      <c r="H33" s="18">
        <f t="shared" si="5"/>
        <v>0.21548468418562466</v>
      </c>
      <c r="I33" s="18"/>
      <c r="J33" s="16">
        <v>6</v>
      </c>
      <c r="K33" s="18">
        <f t="shared" si="6"/>
        <v>1.6924237679334687E-2</v>
      </c>
      <c r="L33" s="18">
        <f t="shared" si="7"/>
        <v>5.7753789675067203E-2</v>
      </c>
      <c r="M33" s="18">
        <f t="shared" si="8"/>
        <v>0.1953898590909203</v>
      </c>
      <c r="N33" s="18">
        <f t="shared" si="9"/>
        <v>5.6641012281076403E-2</v>
      </c>
      <c r="O33" s="40">
        <f t="shared" si="10"/>
        <v>0.19602549514760376</v>
      </c>
    </row>
    <row r="34" spans="1:15" x14ac:dyDescent="0.25">
      <c r="A34" s="4">
        <f t="shared" si="12"/>
        <v>41044</v>
      </c>
      <c r="B34" s="3">
        <f t="shared" si="1"/>
        <v>1.9375E-2</v>
      </c>
      <c r="C34" s="18">
        <f t="shared" si="11"/>
        <v>7.7663043478260869</v>
      </c>
      <c r="D34" s="18">
        <f t="shared" si="0"/>
        <v>1.6589734587227171E-2</v>
      </c>
      <c r="E34" s="18">
        <f t="shared" si="2"/>
        <v>6.4979098834278173E-2</v>
      </c>
      <c r="F34" s="18">
        <f t="shared" si="3"/>
        <v>0.25232372889723775</v>
      </c>
      <c r="G34" s="18">
        <f t="shared" si="4"/>
        <v>6.3693464883783038E-2</v>
      </c>
      <c r="H34" s="18">
        <f t="shared" si="5"/>
        <v>0.27365451280606989</v>
      </c>
      <c r="I34" s="18"/>
      <c r="J34" s="16">
        <v>7</v>
      </c>
      <c r="K34" s="18">
        <f t="shared" si="6"/>
        <v>1.6589421572179609E-2</v>
      </c>
      <c r="L34" s="18">
        <f t="shared" si="7"/>
        <v>6.4977873173021755E-2</v>
      </c>
      <c r="M34" s="18">
        <f t="shared" si="8"/>
        <v>0.25231896946806542</v>
      </c>
      <c r="N34" s="18">
        <f t="shared" si="9"/>
        <v>6.3721590936453826E-2</v>
      </c>
      <c r="O34" s="40">
        <f t="shared" si="10"/>
        <v>0.25151403023108537</v>
      </c>
    </row>
    <row r="35" spans="1:15" x14ac:dyDescent="0.25">
      <c r="A35" s="4">
        <f t="shared" si="12"/>
        <v>41228</v>
      </c>
      <c r="B35" s="3">
        <f t="shared" si="1"/>
        <v>1.9375E-2</v>
      </c>
      <c r="C35" s="18">
        <f t="shared" si="11"/>
        <v>8.766304347826086</v>
      </c>
      <c r="D35" s="18">
        <f t="shared" si="0"/>
        <v>1.626150094906241E-2</v>
      </c>
      <c r="E35" s="18">
        <f t="shared" si="2"/>
        <v>7.1894722783444373E-2</v>
      </c>
      <c r="F35" s="18">
        <f t="shared" si="3"/>
        <v>0.31512551046112985</v>
      </c>
      <c r="G35" s="18">
        <f t="shared" si="4"/>
        <v>7.0472260820597418E-2</v>
      </c>
      <c r="H35" s="18">
        <f t="shared" si="5"/>
        <v>0.33731810635694809</v>
      </c>
      <c r="I35" s="18"/>
      <c r="J35" s="16">
        <v>8</v>
      </c>
      <c r="K35" s="18">
        <f t="shared" si="6"/>
        <v>1.6261229209487027E-2</v>
      </c>
      <c r="L35" s="18">
        <f t="shared" si="7"/>
        <v>7.1893521781762976E-2</v>
      </c>
      <c r="M35" s="18">
        <f t="shared" si="8"/>
        <v>0.31512024628799912</v>
      </c>
      <c r="N35" s="18">
        <f t="shared" si="9"/>
        <v>7.0499848196209858E-2</v>
      </c>
      <c r="O35" s="40">
        <f t="shared" si="10"/>
        <v>0.31261020183469557</v>
      </c>
    </row>
    <row r="36" spans="1:15" x14ac:dyDescent="0.25">
      <c r="A36" s="4">
        <f t="shared" si="12"/>
        <v>41409</v>
      </c>
      <c r="B36" s="3">
        <f t="shared" si="1"/>
        <v>1.9375E-2</v>
      </c>
      <c r="C36" s="18">
        <f t="shared" si="11"/>
        <v>9.766304347826086</v>
      </c>
      <c r="D36" s="18">
        <f t="shared" si="0"/>
        <v>1.5939761526983887E-2</v>
      </c>
      <c r="E36" s="18">
        <f t="shared" si="2"/>
        <v>7.851125399542068E-2</v>
      </c>
      <c r="F36" s="18">
        <f t="shared" si="3"/>
        <v>0.38338240062437762</v>
      </c>
      <c r="G36" s="18">
        <f t="shared" si="4"/>
        <v>7.6957881673500872E-2</v>
      </c>
      <c r="H36" s="18">
        <f t="shared" si="5"/>
        <v>0.40607939428504752</v>
      </c>
      <c r="I36" s="18"/>
      <c r="J36" s="16">
        <v>9</v>
      </c>
      <c r="K36" s="18">
        <f t="shared" si="6"/>
        <v>1.593952955218873E-2</v>
      </c>
      <c r="L36" s="18">
        <f t="shared" si="7"/>
        <v>7.8510111844129801E-2</v>
      </c>
      <c r="M36" s="18">
        <f t="shared" si="8"/>
        <v>0.38337682332581863</v>
      </c>
      <c r="N36" s="18">
        <f t="shared" si="9"/>
        <v>7.6984974678254173E-2</v>
      </c>
      <c r="O36" s="40">
        <f t="shared" si="10"/>
        <v>0.37891453000268494</v>
      </c>
    </row>
    <row r="37" spans="1:15" x14ac:dyDescent="0.25">
      <c r="A37" s="4">
        <f t="shared" si="12"/>
        <v>41593</v>
      </c>
      <c r="B37" s="3">
        <f t="shared" si="1"/>
        <v>1.9375E-2</v>
      </c>
      <c r="C37" s="18">
        <f t="shared" si="11"/>
        <v>10.766304347826086</v>
      </c>
      <c r="D37" s="18">
        <f t="shared" si="0"/>
        <v>1.5624387830679621E-2</v>
      </c>
      <c r="E37" s="18">
        <f t="shared" si="2"/>
        <v>8.4837820587203808E-2</v>
      </c>
      <c r="F37" s="18">
        <f t="shared" si="3"/>
        <v>0.45669489832405091</v>
      </c>
      <c r="G37" s="18">
        <f t="shared" si="4"/>
        <v>8.3159274956537285E-2</v>
      </c>
      <c r="H37" s="18">
        <f t="shared" si="5"/>
        <v>0.47955891291445885</v>
      </c>
      <c r="I37" s="18"/>
      <c r="J37" s="16">
        <v>10</v>
      </c>
      <c r="K37" s="18">
        <f t="shared" si="6"/>
        <v>1.5624194153592688E-2</v>
      </c>
      <c r="L37" s="18">
        <f t="shared" si="7"/>
        <v>8.4836769428330822E-2</v>
      </c>
      <c r="M37" s="18">
        <f t="shared" si="8"/>
        <v>0.45668923977587866</v>
      </c>
      <c r="N37" s="18">
        <f t="shared" si="9"/>
        <v>8.318591568166854E-2</v>
      </c>
      <c r="O37" s="40">
        <f t="shared" si="10"/>
        <v>0.45004423007491412</v>
      </c>
    </row>
    <row r="38" spans="1:15" x14ac:dyDescent="0.25">
      <c r="A38" s="4">
        <f t="shared" si="12"/>
        <v>41774</v>
      </c>
      <c r="B38" s="3">
        <f t="shared" si="1"/>
        <v>1.9375E-2</v>
      </c>
      <c r="C38" s="18">
        <f t="shared" si="11"/>
        <v>11.766304347826086</v>
      </c>
      <c r="D38" s="18">
        <f t="shared" si="0"/>
        <v>1.5315253912062878E-2</v>
      </c>
      <c r="E38" s="18">
        <f t="shared" si="2"/>
        <v>9.088330655270227E-2</v>
      </c>
      <c r="F38" s="18">
        <f t="shared" si="3"/>
        <v>0.53468032251793585</v>
      </c>
      <c r="G38" s="18">
        <f t="shared" si="4"/>
        <v>8.908514889072229E-2</v>
      </c>
      <c r="H38" s="18">
        <f t="shared" si="5"/>
        <v>0.55739324231522924</v>
      </c>
      <c r="I38" s="18"/>
      <c r="J38" s="16">
        <v>11</v>
      </c>
      <c r="K38" s="18">
        <f t="shared" si="6"/>
        <v>1.5315097108097482E-2</v>
      </c>
      <c r="L38" s="18">
        <f t="shared" si="7"/>
        <v>9.0882376560748365E-2</v>
      </c>
      <c r="M38" s="18">
        <f t="shared" si="8"/>
        <v>0.53467485123375047</v>
      </c>
      <c r="N38" s="18">
        <f t="shared" si="9"/>
        <v>8.9111377296115388E-2</v>
      </c>
      <c r="O38" s="40">
        <f t="shared" si="10"/>
        <v>0.52563264744888816</v>
      </c>
    </row>
    <row r="39" spans="1:15" x14ac:dyDescent="0.25">
      <c r="A39" s="4">
        <f t="shared" si="12"/>
        <v>41958</v>
      </c>
      <c r="B39" s="3">
        <f t="shared" si="1"/>
        <v>1.9375E-2</v>
      </c>
      <c r="C39" s="18">
        <f t="shared" si="11"/>
        <v>12.766304347826086</v>
      </c>
      <c r="D39" s="18">
        <f t="shared" si="0"/>
        <v>1.5012236314973415E-2</v>
      </c>
      <c r="E39" s="18">
        <f t="shared" si="2"/>
        <v>9.6656357849564278E-2</v>
      </c>
      <c r="F39" s="18">
        <f t="shared" si="3"/>
        <v>0.61697224072996326</v>
      </c>
      <c r="G39" s="18">
        <f t="shared" si="4"/>
        <v>9.4743978370440823E-2</v>
      </c>
      <c r="H39" s="18">
        <f t="shared" si="5"/>
        <v>0.63923446016211616</v>
      </c>
      <c r="I39" s="18"/>
      <c r="J39" s="16">
        <v>12</v>
      </c>
      <c r="K39" s="18">
        <f t="shared" si="6"/>
        <v>1.5012115000921308E-2</v>
      </c>
      <c r="L39" s="18">
        <f t="shared" si="7"/>
        <v>9.6655577310083909E-2</v>
      </c>
      <c r="M39" s="18">
        <f t="shared" si="8"/>
        <v>0.6169672584276823</v>
      </c>
      <c r="N39" s="18">
        <f t="shared" si="9"/>
        <v>9.4769832365531034E-2</v>
      </c>
      <c r="O39" s="40">
        <f t="shared" si="10"/>
        <v>0.6053287093791121</v>
      </c>
    </row>
    <row r="40" spans="1:15" x14ac:dyDescent="0.25">
      <c r="A40" s="4">
        <f t="shared" si="12"/>
        <v>42139</v>
      </c>
      <c r="B40" s="3">
        <f t="shared" si="1"/>
        <v>1.9375E-2</v>
      </c>
      <c r="C40" s="18">
        <f t="shared" si="11"/>
        <v>13.766304347826086</v>
      </c>
      <c r="D40" s="18">
        <f t="shared" si="0"/>
        <v>1.4715214025873821E-2</v>
      </c>
      <c r="E40" s="18">
        <f t="shared" si="2"/>
        <v>0.10216538834070948</v>
      </c>
      <c r="F40" s="18">
        <f t="shared" si="3"/>
        <v>0.70321991485602475</v>
      </c>
      <c r="G40" s="18">
        <f t="shared" si="4"/>
        <v>0.1001440107874239</v>
      </c>
      <c r="H40" s="18">
        <f t="shared" si="5"/>
        <v>0.72474961210768007</v>
      </c>
      <c r="I40" s="18"/>
      <c r="J40" s="16">
        <v>13</v>
      </c>
      <c r="K40" s="18">
        <f t="shared" si="6"/>
        <v>1.4715126858825537E-2</v>
      </c>
      <c r="L40" s="18">
        <f t="shared" si="7"/>
        <v>0.1021647837262878</v>
      </c>
      <c r="M40" s="18">
        <f t="shared" si="8"/>
        <v>0.70321575320295382</v>
      </c>
      <c r="N40" s="18">
        <f t="shared" si="9"/>
        <v>0.10016952630947717</v>
      </c>
      <c r="O40" s="40">
        <f t="shared" si="10"/>
        <v>0.68879639333700671</v>
      </c>
    </row>
    <row r="41" spans="1:15" x14ac:dyDescent="0.25">
      <c r="A41" s="4">
        <f t="shared" si="12"/>
        <v>42323</v>
      </c>
      <c r="B41" s="3">
        <f t="shared" si="1"/>
        <v>1.9375E-2</v>
      </c>
      <c r="C41" s="18">
        <f t="shared" si="11"/>
        <v>14.766304347826086</v>
      </c>
      <c r="D41" s="18">
        <f t="shared" si="0"/>
        <v>1.4424068425521394E-2</v>
      </c>
      <c r="E41" s="18">
        <f t="shared" si="2"/>
        <v>0.10741858559393239</v>
      </c>
      <c r="F41" s="18">
        <f t="shared" si="3"/>
        <v>0.79308776374650625</v>
      </c>
      <c r="G41" s="18">
        <f t="shared" si="4"/>
        <v>0.10529327171560456</v>
      </c>
      <c r="H41" s="18">
        <f t="shared" si="5"/>
        <v>0.81362019820661102</v>
      </c>
      <c r="I41" s="18"/>
      <c r="J41" s="16">
        <v>14</v>
      </c>
      <c r="K41" s="18">
        <f t="shared" si="6"/>
        <v>1.4424014101813086E-2</v>
      </c>
      <c r="L41" s="18">
        <f t="shared" si="7"/>
        <v>0.10741818163763729</v>
      </c>
      <c r="M41" s="18">
        <f t="shared" si="8"/>
        <v>0.79308478127570792</v>
      </c>
      <c r="N41" s="18">
        <f t="shared" si="9"/>
        <v>0.10531848280544917</v>
      </c>
      <c r="O41" s="40">
        <f t="shared" si="10"/>
        <v>0.77571421146728325</v>
      </c>
    </row>
    <row r="42" spans="1:15" x14ac:dyDescent="0.25">
      <c r="A42" s="4">
        <f t="shared" si="12"/>
        <v>42505</v>
      </c>
      <c r="B42" s="3">
        <f t="shared" si="1"/>
        <v>1.9375E-2</v>
      </c>
      <c r="C42" s="18">
        <f t="shared" si="11"/>
        <v>15.766304347826086</v>
      </c>
      <c r="D42" s="18">
        <f t="shared" si="0"/>
        <v>1.4138683241596176E-2</v>
      </c>
      <c r="E42" s="18">
        <f t="shared" si="2"/>
        <v>0.11242391654286667</v>
      </c>
      <c r="F42" s="18">
        <f t="shared" si="3"/>
        <v>0.88625484209471783</v>
      </c>
      <c r="G42" s="18">
        <f t="shared" si="4"/>
        <v>0.11019957046007835</v>
      </c>
      <c r="H42" s="18">
        <f t="shared" si="5"/>
        <v>0.90554167494049675</v>
      </c>
      <c r="I42" s="18"/>
      <c r="J42" s="16">
        <v>15</v>
      </c>
      <c r="K42" s="18">
        <f t="shared" si="6"/>
        <v>1.4138660495782376E-2</v>
      </c>
      <c r="L42" s="18">
        <f t="shared" si="7"/>
        <v>0.11242373630925137</v>
      </c>
      <c r="M42" s="18">
        <f t="shared" si="8"/>
        <v>0.88625342128570161</v>
      </c>
      <c r="N42" s="18">
        <f t="shared" si="9"/>
        <v>0.11022450933536376</v>
      </c>
      <c r="O42" s="40">
        <f t="shared" si="10"/>
        <v>0.86577471068903256</v>
      </c>
    </row>
    <row r="43" spans="1:15" x14ac:dyDescent="0.25">
      <c r="A43" s="4">
        <f t="shared" si="12"/>
        <v>42689</v>
      </c>
      <c r="B43" s="3">
        <f t="shared" si="1"/>
        <v>1.9375E-2</v>
      </c>
      <c r="C43" s="18">
        <f t="shared" si="11"/>
        <v>16.766304347826086</v>
      </c>
      <c r="D43" s="18">
        <f t="shared" si="0"/>
        <v>1.3858944502266294E-2</v>
      </c>
      <c r="E43" s="18">
        <f t="shared" si="2"/>
        <v>0.1171891330125273</v>
      </c>
      <c r="F43" s="18">
        <f t="shared" si="3"/>
        <v>0.98241433517295296</v>
      </c>
      <c r="G43" s="18">
        <f t="shared" si="4"/>
        <v>0.11487050547332052</v>
      </c>
      <c r="H43" s="18">
        <f t="shared" si="5"/>
        <v>1.0002229724042606</v>
      </c>
      <c r="I43" s="18"/>
      <c r="J43" s="16">
        <v>16</v>
      </c>
      <c r="K43" s="18">
        <f t="shared" si="6"/>
        <v>1.3858952106117921E-2</v>
      </c>
      <c r="L43" s="18">
        <f t="shared" si="7"/>
        <v>0.11718919796625601</v>
      </c>
      <c r="M43" s="18">
        <f t="shared" si="8"/>
        <v>0.98241487968994501</v>
      </c>
      <c r="N43" s="18">
        <f t="shared" si="9"/>
        <v>0.11489520259937679</v>
      </c>
      <c r="O43" s="40">
        <f t="shared" si="10"/>
        <v>0.95868398800179722</v>
      </c>
    </row>
    <row r="44" spans="1:15" x14ac:dyDescent="0.25">
      <c r="A44" s="4">
        <f t="shared" si="12"/>
        <v>42870</v>
      </c>
      <c r="B44" s="3">
        <f t="shared" si="1"/>
        <v>1.9375E-2</v>
      </c>
      <c r="C44" s="18">
        <f t="shared" si="11"/>
        <v>17.766304347826086</v>
      </c>
      <c r="D44" s="18">
        <f t="shared" si="0"/>
        <v>1.3584740490671992E-2</v>
      </c>
      <c r="E44" s="18">
        <f t="shared" si="2"/>
        <v>0.12172177711257205</v>
      </c>
      <c r="F44" s="18">
        <f t="shared" si="3"/>
        <v>1.0812730689701033</v>
      </c>
      <c r="G44" s="18">
        <f t="shared" si="4"/>
        <v>0.11931346964174001</v>
      </c>
      <c r="H44" s="18">
        <f t="shared" si="5"/>
        <v>1.0973860262271895</v>
      </c>
      <c r="I44" s="18"/>
      <c r="J44" s="16">
        <v>17</v>
      </c>
      <c r="K44" s="18">
        <f t="shared" si="6"/>
        <v>1.3584777252199096E-2</v>
      </c>
      <c r="L44" s="18">
        <f t="shared" si="7"/>
        <v>0.12172210718474068</v>
      </c>
      <c r="M44" s="18">
        <f t="shared" si="8"/>
        <v>1.0812760010514055</v>
      </c>
      <c r="N44" s="18">
        <f t="shared" si="9"/>
        <v>0.11933795380010877</v>
      </c>
      <c r="O44" s="40">
        <f t="shared" si="10"/>
        <v>1.0541612205686324</v>
      </c>
    </row>
    <row r="45" spans="1:15" x14ac:dyDescent="0.25">
      <c r="A45" s="4">
        <f t="shared" si="12"/>
        <v>43054</v>
      </c>
      <c r="B45" s="3">
        <f t="shared" si="1"/>
        <v>1.9375E-2</v>
      </c>
      <c r="C45" s="18">
        <f t="shared" si="11"/>
        <v>18.766304347826086</v>
      </c>
      <c r="D45" s="18">
        <f t="shared" si="0"/>
        <v>1.3315961700310242E-2</v>
      </c>
      <c r="E45" s="18">
        <f t="shared" si="2"/>
        <v>0.12602918650135461</v>
      </c>
      <c r="F45" s="18">
        <f t="shared" si="3"/>
        <v>1.1825510352966777</v>
      </c>
      <c r="G45" s="18">
        <f t="shared" si="4"/>
        <v>0.12353565544558144</v>
      </c>
      <c r="H45" s="18">
        <f t="shared" si="5"/>
        <v>1.1967653238128786</v>
      </c>
      <c r="I45" s="18"/>
      <c r="J45" s="16">
        <v>18</v>
      </c>
      <c r="K45" s="18">
        <f t="shared" si="6"/>
        <v>1.33160264628088E-2</v>
      </c>
      <c r="L45" s="18">
        <f t="shared" si="7"/>
        <v>0.12602980015357476</v>
      </c>
      <c r="M45" s="18">
        <f t="shared" si="8"/>
        <v>1.1825567932888412</v>
      </c>
      <c r="N45" s="18">
        <f t="shared" si="9"/>
        <v>0.12355995380028757</v>
      </c>
      <c r="O45" s="40">
        <f t="shared" si="10"/>
        <v>1.1519382101595634</v>
      </c>
    </row>
    <row r="46" spans="1:15" x14ac:dyDescent="0.25">
      <c r="A46" s="4">
        <f t="shared" si="12"/>
        <v>43235</v>
      </c>
      <c r="B46" s="3">
        <f>1+$B$8/2</f>
        <v>1.0193749999999999</v>
      </c>
      <c r="C46" s="18">
        <f t="shared" si="11"/>
        <v>19.766304347826086</v>
      </c>
      <c r="D46" s="18">
        <f t="shared" si="0"/>
        <v>0.68672996098753691</v>
      </c>
      <c r="E46" s="18">
        <f t="shared" si="2"/>
        <v>6.8459120233312829</v>
      </c>
      <c r="F46" s="18">
        <f t="shared" si="3"/>
        <v>67.659190295804009</v>
      </c>
      <c r="G46" s="18">
        <f t="shared" si="4"/>
        <v>6.7104632855495474</v>
      </c>
      <c r="H46" s="18">
        <f t="shared" si="5"/>
        <v>68.29720240609474</v>
      </c>
      <c r="I46" s="18"/>
      <c r="J46" s="16">
        <v>19</v>
      </c>
      <c r="K46" s="18">
        <f t="shared" si="6"/>
        <v>0.68673478249303554</v>
      </c>
      <c r="L46" s="18">
        <f t="shared" si="7"/>
        <v>6.8459601265886585</v>
      </c>
      <c r="M46" s="18">
        <f t="shared" si="8"/>
        <v>67.659665707616711</v>
      </c>
      <c r="N46" s="18">
        <f t="shared" si="9"/>
        <v>6.7117332643114924</v>
      </c>
      <c r="O46" s="40">
        <f t="shared" si="10"/>
        <v>65.858672053807553</v>
      </c>
    </row>
    <row r="47" spans="1:15" x14ac:dyDescent="0.25">
      <c r="A47" s="4"/>
      <c r="D47" s="42">
        <f>SUM(D27:D46)</f>
        <v>0.99140285234377745</v>
      </c>
      <c r="E47" s="48">
        <f>SUM(E27:E46)</f>
        <v>8.2546794288788767</v>
      </c>
      <c r="F47" s="48">
        <f>SUM(F27:F46)</f>
        <v>76.405440933592132</v>
      </c>
      <c r="G47" s="48">
        <f>SUM(G27:G46)</f>
        <v>8.0913577406035966</v>
      </c>
      <c r="H47" s="48">
        <f>SUM(H27:H46)</f>
        <v>77.377568151262466</v>
      </c>
      <c r="I47" s="42"/>
      <c r="J47" s="42"/>
      <c r="K47" s="49">
        <f>SUM(K27:K46)</f>
        <v>0.99140284678808943</v>
      </c>
      <c r="L47" s="48">
        <f>SUM(L27:L46)</f>
        <v>8.2547150938473699</v>
      </c>
      <c r="M47" s="48">
        <f>SUM(M27:M46)</f>
        <v>76.405871902976315</v>
      </c>
      <c r="N47" s="48">
        <f>SUM(N27:N46)</f>
        <v>8.0931545875094049</v>
      </c>
      <c r="O47" s="48">
        <f>SUM(O27:O46)</f>
        <v>74.453548973794</v>
      </c>
    </row>
    <row r="48" spans="1:15" x14ac:dyDescent="0.25">
      <c r="A48" s="4"/>
      <c r="C48" s="2" t="s">
        <v>94</v>
      </c>
      <c r="D48" s="47">
        <f>D47-B19/100</f>
        <v>-9.1709206895274065E-10</v>
      </c>
      <c r="E48" s="47"/>
      <c r="F48" s="47"/>
      <c r="G48" s="48">
        <f>E47/(1+D25/2)</f>
        <v>8.0913577406035966</v>
      </c>
      <c r="H48" s="48">
        <f>(F47+ E47/2)/(1+D25/2)^2</f>
        <v>77.377568151262452</v>
      </c>
      <c r="I48" s="47"/>
      <c r="J48" s="2" t="s">
        <v>94</v>
      </c>
      <c r="K48" s="47">
        <f>K47-B19/100</f>
        <v>-6.4727800896946519E-9</v>
      </c>
    </row>
    <row r="49" spans="1:1" x14ac:dyDescent="0.25">
      <c r="A49" s="4"/>
    </row>
    <row r="50" spans="1:1" x14ac:dyDescent="0.25">
      <c r="A50" s="4"/>
    </row>
    <row r="51" spans="1:1" x14ac:dyDescent="0.25">
      <c r="A51" s="4"/>
    </row>
  </sheetData>
  <mergeCells count="2">
    <mergeCell ref="C23:H23"/>
    <mergeCell ref="J23:O2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28" zoomScale="90" zoomScaleNormal="90" zoomScalePageLayoutView="85" workbookViewId="0">
      <selection activeCell="K20" sqref="K20"/>
    </sheetView>
  </sheetViews>
  <sheetFormatPr defaultColWidth="8.85546875" defaultRowHeight="15" x14ac:dyDescent="0.25"/>
  <cols>
    <col min="1" max="1" width="20.5703125" style="3" bestFit="1" customWidth="1"/>
    <col min="2" max="2" width="14.28515625" style="3" customWidth="1"/>
    <col min="3" max="3" width="10.7109375" style="2" customWidth="1"/>
    <col min="4" max="4" width="12.7109375" style="2" bestFit="1" customWidth="1"/>
    <col min="5" max="5" width="10.85546875" style="2" customWidth="1"/>
    <col min="6" max="8" width="12.42578125" style="2" customWidth="1"/>
    <col min="9" max="9" width="4.5703125" style="2" customWidth="1"/>
    <col min="10" max="10" width="10.85546875" style="2" customWidth="1"/>
    <col min="11" max="11" width="12.28515625" style="2" customWidth="1"/>
    <col min="12" max="12" width="12.28515625" style="19" customWidth="1"/>
    <col min="13" max="15" width="12.28515625" style="3" customWidth="1"/>
    <col min="16" max="16" width="12.140625" style="3" customWidth="1"/>
    <col min="17" max="16384" width="8.85546875" style="3"/>
  </cols>
  <sheetData>
    <row r="1" spans="1:16" x14ac:dyDescent="0.25">
      <c r="A1" s="1" t="s">
        <v>31</v>
      </c>
      <c r="B1" s="3" t="s">
        <v>109</v>
      </c>
    </row>
    <row r="2" spans="1:16" x14ac:dyDescent="0.25">
      <c r="A2" s="4"/>
    </row>
    <row r="3" spans="1:16" x14ac:dyDescent="0.25">
      <c r="A3" s="5" t="s">
        <v>30</v>
      </c>
      <c r="L3" s="2"/>
      <c r="M3" s="2"/>
      <c r="N3" s="2"/>
      <c r="O3" s="2"/>
      <c r="P3" s="2"/>
    </row>
    <row r="4" spans="1:16" x14ac:dyDescent="0.25">
      <c r="A4" s="3" t="s">
        <v>35</v>
      </c>
      <c r="B4" s="8"/>
      <c r="L4" s="8"/>
      <c r="M4" s="2"/>
      <c r="N4" s="23"/>
      <c r="O4" s="23"/>
      <c r="P4" s="23"/>
    </row>
    <row r="5" spans="1:16" x14ac:dyDescent="0.25">
      <c r="A5" s="3" t="s">
        <v>29</v>
      </c>
      <c r="B5" s="8" t="str">
        <f>_xll.BDP($B$1,A5)</f>
        <v>8/15/2016</v>
      </c>
      <c r="C5" s="8"/>
      <c r="L5" s="8"/>
      <c r="M5" s="2"/>
      <c r="N5" s="23"/>
      <c r="O5" s="23"/>
      <c r="P5" s="23"/>
    </row>
    <row r="6" spans="1:16" x14ac:dyDescent="0.25">
      <c r="A6" s="13" t="s">
        <v>2</v>
      </c>
      <c r="B6" s="8" t="str">
        <f>_xll.BDP($B$1,A6)</f>
        <v>9/12/2016</v>
      </c>
      <c r="C6" s="8"/>
      <c r="L6" s="8"/>
      <c r="M6" s="2"/>
      <c r="N6" s="23"/>
      <c r="O6" s="23"/>
      <c r="P6" s="23"/>
    </row>
    <row r="7" spans="1:16" x14ac:dyDescent="0.25">
      <c r="A7" s="13" t="s">
        <v>6</v>
      </c>
      <c r="B7" s="8" t="str">
        <f>_xll.BDP($B$1,A7)</f>
        <v>8/15/2026</v>
      </c>
      <c r="C7" s="8"/>
      <c r="L7" s="8"/>
      <c r="M7" s="2"/>
      <c r="N7" s="23"/>
      <c r="O7" s="23"/>
      <c r="P7" s="23"/>
    </row>
    <row r="8" spans="1:16" x14ac:dyDescent="0.25">
      <c r="A8" s="13" t="s">
        <v>63</v>
      </c>
      <c r="B8" s="18">
        <f>_xll.BDP($B$1,A8)</f>
        <v>1.5</v>
      </c>
      <c r="L8" s="8"/>
      <c r="M8" s="2"/>
      <c r="N8" s="23"/>
      <c r="O8" s="23"/>
      <c r="P8" s="23"/>
    </row>
    <row r="9" spans="1:16" x14ac:dyDescent="0.25">
      <c r="A9" s="3" t="s">
        <v>64</v>
      </c>
      <c r="B9" s="18" t="str">
        <f>_xll.BDP($B$1,A9)</f>
        <v>2/15/2017</v>
      </c>
      <c r="L9" s="8"/>
      <c r="M9" s="2"/>
      <c r="N9" s="23"/>
      <c r="O9" s="23"/>
      <c r="P9" s="23"/>
    </row>
    <row r="10" spans="1:16" x14ac:dyDescent="0.25">
      <c r="A10" s="3" t="s">
        <v>66</v>
      </c>
      <c r="B10" s="18" t="str">
        <f>_xll.BDP($B$1,A10)</f>
        <v>2/15/2017</v>
      </c>
      <c r="F10" s="55"/>
      <c r="L10" s="8"/>
      <c r="M10" s="8"/>
      <c r="N10" s="23"/>
      <c r="O10" s="23"/>
      <c r="P10" s="23"/>
    </row>
    <row r="11" spans="1:16" x14ac:dyDescent="0.25">
      <c r="A11" s="3" t="s">
        <v>67</v>
      </c>
      <c r="B11" s="18" t="str">
        <f>_xll.BDP($B$1,A11)</f>
        <v>8/15/2016</v>
      </c>
      <c r="L11" s="8"/>
      <c r="M11" s="2"/>
      <c r="N11" s="23"/>
      <c r="O11" s="23"/>
      <c r="P11" s="23"/>
    </row>
    <row r="12" spans="1:16" x14ac:dyDescent="0.25">
      <c r="A12" s="3" t="s">
        <v>68</v>
      </c>
      <c r="B12" s="3">
        <f>COUPDAYBS($B$6,$B$7,2,1)</f>
        <v>28</v>
      </c>
      <c r="C12" s="2">
        <f>B6-B11</f>
        <v>28</v>
      </c>
      <c r="L12" s="8"/>
      <c r="M12" s="2"/>
      <c r="N12" s="23"/>
      <c r="O12" s="23"/>
      <c r="P12" s="23"/>
    </row>
    <row r="13" spans="1:16" x14ac:dyDescent="0.25">
      <c r="A13" s="3" t="s">
        <v>69</v>
      </c>
      <c r="B13" s="3">
        <f>COUPDAYS($B$6,$B$7,2,1)</f>
        <v>184</v>
      </c>
      <c r="C13" s="16">
        <f>B9-B11</f>
        <v>184</v>
      </c>
      <c r="D13" s="3"/>
      <c r="L13" s="8"/>
      <c r="M13" s="2"/>
      <c r="N13" s="23"/>
      <c r="O13" s="23"/>
      <c r="P13" s="23"/>
    </row>
    <row r="14" spans="1:16" x14ac:dyDescent="0.25">
      <c r="A14" s="3" t="s">
        <v>104</v>
      </c>
      <c r="B14" s="54">
        <f>C12/C13</f>
        <v>0.15217391304347827</v>
      </c>
      <c r="D14" s="18"/>
      <c r="L14" s="8"/>
      <c r="M14" s="2"/>
      <c r="N14" s="23"/>
      <c r="O14" s="23"/>
      <c r="P14" s="23"/>
    </row>
    <row r="15" spans="1:16" x14ac:dyDescent="0.25">
      <c r="A15" s="3" t="s">
        <v>110</v>
      </c>
      <c r="B15" s="54">
        <f>_xll.BDP($B$1,A15)</f>
        <v>0.1141304347826087</v>
      </c>
      <c r="C15" s="54">
        <f>B14*B8/2</f>
        <v>0.1141304347826087</v>
      </c>
      <c r="L15" s="8"/>
      <c r="M15" s="2"/>
      <c r="N15" s="23"/>
      <c r="O15" s="23"/>
      <c r="P15" s="23"/>
    </row>
    <row r="16" spans="1:16" x14ac:dyDescent="0.25">
      <c r="A16" s="5" t="s">
        <v>32</v>
      </c>
      <c r="C16" s="3"/>
      <c r="L16" s="8"/>
      <c r="M16" s="2"/>
      <c r="N16" s="23"/>
      <c r="O16" s="23"/>
      <c r="P16" s="23"/>
    </row>
    <row r="17" spans="1:16" x14ac:dyDescent="0.25">
      <c r="A17" s="53" t="s">
        <v>1</v>
      </c>
      <c r="B17" s="54">
        <f>_xll.BDP($B$1,A17)</f>
        <v>98.40625</v>
      </c>
      <c r="C17" s="13">
        <f>DOLLARFR(B17,32)</f>
        <v>98.13</v>
      </c>
      <c r="L17" s="8"/>
      <c r="M17" s="8"/>
      <c r="N17" s="23"/>
      <c r="O17" s="23"/>
      <c r="P17" s="23"/>
    </row>
    <row r="18" spans="1:16" x14ac:dyDescent="0.25">
      <c r="A18" s="3" t="s">
        <v>111</v>
      </c>
      <c r="B18" s="21">
        <f>B17+B15</f>
        <v>98.520380434782609</v>
      </c>
    </row>
    <row r="19" spans="1:16" x14ac:dyDescent="0.25">
      <c r="A19" s="28" t="s">
        <v>5</v>
      </c>
      <c r="B19" s="21">
        <f>_xll.BDP($B$1,A19)</f>
        <v>1.6749394</v>
      </c>
      <c r="D19" s="3"/>
      <c r="E19" s="3"/>
      <c r="F19" s="3"/>
      <c r="G19" s="3"/>
      <c r="H19" s="3"/>
      <c r="I19" s="3"/>
      <c r="J19" s="3"/>
    </row>
    <row r="20" spans="1:16" x14ac:dyDescent="0.25">
      <c r="A20" s="28"/>
      <c r="B20" s="21"/>
      <c r="D20" s="3"/>
      <c r="E20" s="3"/>
      <c r="F20" s="3"/>
      <c r="G20" s="3"/>
      <c r="H20" s="3"/>
      <c r="I20" s="3"/>
      <c r="J20" s="3"/>
    </row>
    <row r="21" spans="1:16" x14ac:dyDescent="0.25">
      <c r="A21" s="28" t="s">
        <v>103</v>
      </c>
      <c r="B21" s="21"/>
      <c r="D21" s="3"/>
      <c r="E21" s="3"/>
      <c r="F21" s="3"/>
      <c r="G21" s="3"/>
      <c r="H21" s="3"/>
      <c r="I21" s="3"/>
      <c r="J21" s="3"/>
    </row>
    <row r="22" spans="1:16" x14ac:dyDescent="0.25">
      <c r="A22" s="28"/>
      <c r="B22" s="21"/>
      <c r="C22" s="62" t="s">
        <v>102</v>
      </c>
      <c r="D22" s="63"/>
      <c r="E22" s="63"/>
      <c r="F22" s="63"/>
      <c r="G22" s="63"/>
      <c r="H22" s="64"/>
      <c r="I22" s="3"/>
      <c r="J22" s="62" t="s">
        <v>105</v>
      </c>
      <c r="K22" s="63"/>
      <c r="L22" s="63"/>
      <c r="M22" s="63"/>
      <c r="N22" s="63"/>
      <c r="O22" s="64"/>
    </row>
    <row r="23" spans="1:16" x14ac:dyDescent="0.25">
      <c r="A23" s="28"/>
      <c r="B23" s="21"/>
      <c r="D23" s="41" t="s">
        <v>101</v>
      </c>
      <c r="E23" s="41"/>
      <c r="F23" s="41"/>
      <c r="G23" s="41"/>
      <c r="H23" s="41"/>
      <c r="I23" s="41"/>
      <c r="J23" s="41"/>
      <c r="K23" s="2" t="s">
        <v>101</v>
      </c>
    </row>
    <row r="24" spans="1:16" x14ac:dyDescent="0.25">
      <c r="D24" s="56">
        <v>1.6749394551163883E-2</v>
      </c>
      <c r="E24" s="41"/>
      <c r="F24" s="41"/>
      <c r="G24" s="41"/>
      <c r="H24" s="41"/>
      <c r="I24" s="41"/>
      <c r="J24" s="41"/>
      <c r="K24" s="56">
        <v>1.6748905900318831E-2</v>
      </c>
    </row>
    <row r="25" spans="1:16" x14ac:dyDescent="0.25">
      <c r="A25" s="2" t="s">
        <v>35</v>
      </c>
      <c r="B25" s="2" t="s">
        <v>81</v>
      </c>
      <c r="C25" s="2" t="s">
        <v>97</v>
      </c>
      <c r="D25" s="2" t="s">
        <v>106</v>
      </c>
      <c r="E25" s="2" t="s">
        <v>107</v>
      </c>
      <c r="F25" s="2" t="s">
        <v>108</v>
      </c>
      <c r="G25" s="2" t="s">
        <v>99</v>
      </c>
      <c r="H25" s="2" t="s">
        <v>100</v>
      </c>
      <c r="J25" s="2" t="s">
        <v>97</v>
      </c>
      <c r="K25" s="2" t="s">
        <v>106</v>
      </c>
      <c r="L25" s="2" t="s">
        <v>107</v>
      </c>
      <c r="M25" s="2" t="s">
        <v>108</v>
      </c>
      <c r="N25" s="2" t="s">
        <v>99</v>
      </c>
      <c r="O25" s="2" t="s">
        <v>100</v>
      </c>
    </row>
    <row r="26" spans="1:16" x14ac:dyDescent="0.25">
      <c r="A26" s="8" t="str">
        <f>B10</f>
        <v>2/15/2017</v>
      </c>
      <c r="B26" s="3">
        <f>$B$8/2</f>
        <v>0.75</v>
      </c>
      <c r="C26" s="18">
        <f>($B$13-$B$12)/$B$13</f>
        <v>0.84782608695652173</v>
      </c>
      <c r="D26" s="18">
        <f t="shared" ref="D26:D45" si="0">B26*(1+$D$24/2)^(-C26)</f>
        <v>0.74471566374589648</v>
      </c>
      <c r="E26" s="18">
        <f>(D26/$D$46)*C26/2</f>
        <v>3.2043591644162306E-3</v>
      </c>
      <c r="F26" s="18">
        <f>(D26/$D$46)*(C26/2)^2</f>
        <v>1.3583696457851414E-3</v>
      </c>
      <c r="G26" s="18">
        <f>(B26/$D$46)*(C26/2)*(1+$D$24/2)^(-C26-1)</f>
        <v>3.1777464994646736E-3</v>
      </c>
      <c r="H26" s="18">
        <f>(B26/$D$46)*(C26*(C26+1)/4)*(1+$D$24/2)^(-C26-2)</f>
        <v>2.9115778565796534E-3</v>
      </c>
      <c r="I26" s="18"/>
      <c r="J26" s="16">
        <v>0</v>
      </c>
      <c r="K26" s="18">
        <f>B26/(1+$K$24/2*$C$26)*(1+$K$24/2)^(-J26)</f>
        <v>0.74471248204243101</v>
      </c>
      <c r="L26" s="18">
        <f>(K26/$K$46)*C26/2</f>
        <v>3.2043454741859869E-3</v>
      </c>
      <c r="M26" s="18">
        <f>(K26/$K$46)*(C26/2)^2</f>
        <v>1.3583638423179728E-3</v>
      </c>
      <c r="N26" s="18">
        <f>(B26/$K$46)*((1+$K$24/2*$C$26)^(-2)*$C$26/2*(1+$K$24/2)^(-J26)  + J26/2*(1+$K$24/2*$C$26)^(-1)*(1+$K$24/2)^(-J26-1))</f>
        <v>3.1817547618699692E-3</v>
      </c>
      <c r="O26" s="40">
        <f>(B26/$K$46)*( 2*(1+$K$24/2*$C$26)^(-3)*($C$26/2)^2*(1+$K$24/2)^(-J26) + J26/2*(1+$K$24/2*$C$26)^(-2)*$C$26/2*(1+$K$24/2)^(-J26-1)  + J26*(J26+1)/4 * (1+$K$24/2*$C$26)^(-1)*(1+$K$24/2)^(-J26-2)  )</f>
        <v>2.6785567232619663E-3</v>
      </c>
    </row>
    <row r="27" spans="1:16" x14ac:dyDescent="0.25">
      <c r="A27" s="4">
        <f>EDATE(A26,6)</f>
        <v>42962</v>
      </c>
      <c r="B27" s="3">
        <f t="shared" ref="B27:B44" si="1">$B$8/2</f>
        <v>0.75</v>
      </c>
      <c r="C27" s="18">
        <f>C26+1</f>
        <v>1.8478260869565217</v>
      </c>
      <c r="D27" s="18">
        <f t="shared" si="0"/>
        <v>0.73853069276526151</v>
      </c>
      <c r="E27" s="18">
        <f t="shared" ref="E27:E45" si="2">(D27/$D$46)*C27/2</f>
        <v>6.9258577552435184E-3</v>
      </c>
      <c r="F27" s="18">
        <f t="shared" ref="F27:F45" si="3">(D27/$D$46)*(C27/2)^2</f>
        <v>6.3988903173445551E-3</v>
      </c>
      <c r="G27" s="18">
        <f t="shared" ref="G27:G45" si="4">(B27/$D$46)*(C27/2)*(1+$D$24/2)^(-C27-1)</f>
        <v>6.868337507828926E-3</v>
      </c>
      <c r="H27" s="18">
        <f t="shared" ref="H27:H45" si="5">(B27/$D$46)*(C27*(C27+1)/4)*(1+$D$24/2)^(-C27-2)</f>
        <v>9.6986917569747335E-3</v>
      </c>
      <c r="I27" s="18"/>
      <c r="J27" s="16">
        <v>1</v>
      </c>
      <c r="K27" s="18">
        <f t="shared" ref="K27:K45" si="6">B27/(1+$K$24/2*$C$26)*(1+$K$24/2)^(-J27)</f>
        <v>0.73852771642880921</v>
      </c>
      <c r="L27" s="18">
        <f t="shared" ref="L27:L45" si="7">(K27/$K$46)*C27/2</f>
        <v>6.925829843471165E-3</v>
      </c>
      <c r="M27" s="18">
        <f t="shared" ref="M27:M45" si="8">(K27/$K$46)*(C27/2)^2</f>
        <v>6.3988645292940112E-3</v>
      </c>
      <c r="N27" s="18">
        <f t="shared" ref="N27:N45" si="9">(B27/$K$46)*((1+$K$24/2*$C$26)^(-2)*$C$26/2*(1+$K$24/2)^(-J27)  + J27/2*(1+$K$24/2*$C$26)^(-1)*(1+$K$24/2)^(-J27-1))</f>
        <v>6.872299166425711E-3</v>
      </c>
      <c r="O27" s="40">
        <f t="shared" ref="O27:O45" si="10">(B27/$K$46)*( 2*(1+$K$24/2*$C$26)^(-3)*($C$26/2)^2*(1+$K$24/2)^(-J27) + J27/2*(1+$K$24/2*$C$26)^(-2)*$C$26/2*(1+$K$24/2)^(-J27-1)  + J27*(J27+1)/4 * (1+$K$24/2*$C$26)^(-1)*(1+$K$24/2)^(-J27-2)  )</f>
        <v>7.9069740107236934E-3</v>
      </c>
    </row>
    <row r="28" spans="1:16" x14ac:dyDescent="0.25">
      <c r="A28" s="4">
        <f>EDATE(A27,6)</f>
        <v>43146</v>
      </c>
      <c r="B28" s="3">
        <f t="shared" si="1"/>
        <v>0.75</v>
      </c>
      <c r="C28" s="18">
        <f t="shared" ref="C28:C45" si="11">C27+1</f>
        <v>2.8478260869565215</v>
      </c>
      <c r="D28" s="18">
        <f t="shared" si="0"/>
        <v>0.73239708886053689</v>
      </c>
      <c r="E28" s="18">
        <f t="shared" si="2"/>
        <v>1.0585320159124579E-2</v>
      </c>
      <c r="F28" s="18">
        <f t="shared" si="3"/>
        <v>1.5072575443970865E-2</v>
      </c>
      <c r="G28" s="18">
        <f t="shared" si="4"/>
        <v>1.0497407548725595E-2</v>
      </c>
      <c r="H28" s="18">
        <f t="shared" si="5"/>
        <v>2.0028367788547222E-2</v>
      </c>
      <c r="I28" s="18"/>
      <c r="J28" s="16">
        <v>2</v>
      </c>
      <c r="K28" s="18">
        <f t="shared" si="6"/>
        <v>0.73239431469939476</v>
      </c>
      <c r="L28" s="18">
        <f t="shared" si="7"/>
        <v>1.0585280064193707E-2</v>
      </c>
      <c r="M28" s="18">
        <f t="shared" si="8"/>
        <v>1.507251835227582E-2</v>
      </c>
      <c r="N28" s="18">
        <f t="shared" si="9"/>
        <v>1.0501324887401452E-2</v>
      </c>
      <c r="O28" s="40">
        <f t="shared" si="10"/>
        <v>1.6703850350857682E-2</v>
      </c>
    </row>
    <row r="29" spans="1:16" s="10" customFormat="1" x14ac:dyDescent="0.25">
      <c r="A29" s="4">
        <f t="shared" ref="A29:A45" si="12">EDATE(A28,6)</f>
        <v>43327</v>
      </c>
      <c r="B29" s="3">
        <f t="shared" si="1"/>
        <v>0.75</v>
      </c>
      <c r="C29" s="18">
        <f t="shared" si="11"/>
        <v>3.8478260869565215</v>
      </c>
      <c r="D29" s="18">
        <f t="shared" si="0"/>
        <v>0.72631442542074998</v>
      </c>
      <c r="E29" s="18">
        <f t="shared" si="2"/>
        <v>1.4183520123087254E-2</v>
      </c>
      <c r="F29" s="18">
        <f t="shared" si="3"/>
        <v>2.7287859367243955E-2</v>
      </c>
      <c r="G29" s="18">
        <f t="shared" si="4"/>
        <v>1.4065723943101868E-2</v>
      </c>
      <c r="H29" s="18">
        <f t="shared" si="5"/>
        <v>3.3810935383210443E-2</v>
      </c>
      <c r="I29" s="18"/>
      <c r="J29" s="16">
        <v>3</v>
      </c>
      <c r="K29" s="18">
        <f t="shared" si="6"/>
        <v>0.72631185028206446</v>
      </c>
      <c r="L29" s="18">
        <f t="shared" si="7"/>
        <v>1.418346983554555E-2</v>
      </c>
      <c r="M29" s="18">
        <f t="shared" si="8"/>
        <v>2.7287762618386547E-2</v>
      </c>
      <c r="N29" s="18">
        <f t="shared" si="9"/>
        <v>1.4069599196188396E-2</v>
      </c>
      <c r="O29" s="40">
        <f>(B29/$K$46)*( 2*(1+$K$24/2*$C$26)^(-3)*($C$26/2)^2*(1+$K$24/2)^(-J29) + J29/2*(1+$K$24/2*$C$26)^(-2)*$C$26/2*(1+$K$24/2)^(-J29-1)  + J29*(J29+1)/4 * (1+$K$24/2*$C$26)^(-1)*(1+$K$24/2)^(-J29-2)  )</f>
        <v>2.8979195246389047E-2</v>
      </c>
    </row>
    <row r="30" spans="1:16" x14ac:dyDescent="0.25">
      <c r="A30" s="4">
        <f t="shared" si="12"/>
        <v>43511</v>
      </c>
      <c r="B30" s="3">
        <f t="shared" si="1"/>
        <v>0.75</v>
      </c>
      <c r="C30" s="18">
        <f t="shared" si="11"/>
        <v>4.8478260869565215</v>
      </c>
      <c r="D30" s="18">
        <f t="shared" si="0"/>
        <v>0.72028227937799294</v>
      </c>
      <c r="E30" s="18">
        <f t="shared" si="2"/>
        <v>1.7721222820970148E-2</v>
      </c>
      <c r="F30" s="18">
        <f t="shared" si="3"/>
        <v>4.2954703142134162E-2</v>
      </c>
      <c r="G30" s="18">
        <f t="shared" si="4"/>
        <v>1.7574045509917289E-2</v>
      </c>
      <c r="H30" s="18">
        <f t="shared" si="5"/>
        <v>5.095822121673544E-2</v>
      </c>
      <c r="I30" s="18"/>
      <c r="J30" s="16">
        <v>4</v>
      </c>
      <c r="K30" s="18">
        <f t="shared" si="6"/>
        <v>0.72027990014733489</v>
      </c>
      <c r="L30" s="18">
        <f t="shared" si="7"/>
        <v>1.7721164284307589E-2</v>
      </c>
      <c r="M30" s="18">
        <f t="shared" si="8"/>
        <v>4.2954561254354262E-2</v>
      </c>
      <c r="N30" s="18">
        <f t="shared" si="9"/>
        <v>1.7577880862978897E-2</v>
      </c>
      <c r="O30" s="40">
        <f t="shared" si="10"/>
        <v>4.4644518927338943E-2</v>
      </c>
    </row>
    <row r="31" spans="1:16" x14ac:dyDescent="0.25">
      <c r="A31" s="4">
        <f t="shared" si="12"/>
        <v>43692</v>
      </c>
      <c r="B31" s="3">
        <f t="shared" si="1"/>
        <v>0.75</v>
      </c>
      <c r="C31" s="18">
        <f t="shared" si="11"/>
        <v>5.8478260869565215</v>
      </c>
      <c r="D31" s="18">
        <f t="shared" si="0"/>
        <v>0.7143002311779989</v>
      </c>
      <c r="E31" s="18">
        <f t="shared" si="2"/>
        <v>2.1199184942456279E-2</v>
      </c>
      <c r="F31" s="18">
        <f t="shared" si="3"/>
        <v>6.1984573364355859E-2</v>
      </c>
      <c r="G31" s="18">
        <f t="shared" si="4"/>
        <v>2.1023122654437936E-2</v>
      </c>
      <c r="H31" s="18">
        <f t="shared" si="5"/>
        <v>7.1383528430108298E-2</v>
      </c>
      <c r="I31" s="18"/>
      <c r="J31" s="16">
        <v>5</v>
      </c>
      <c r="K31" s="18">
        <f t="shared" si="6"/>
        <v>0.71429804477894265</v>
      </c>
      <c r="L31" s="18">
        <f t="shared" si="7"/>
        <v>2.1199120053872676E-2</v>
      </c>
      <c r="M31" s="18">
        <f t="shared" si="8"/>
        <v>6.1984383635779884E-2</v>
      </c>
      <c r="N31" s="18">
        <f t="shared" si="9"/>
        <v>2.1026920245049947E-2</v>
      </c>
      <c r="O31" s="40">
        <f t="shared" si="10"/>
        <v>6.3612811537138894E-2</v>
      </c>
    </row>
    <row r="32" spans="1:16" x14ac:dyDescent="0.25">
      <c r="A32" s="4">
        <f t="shared" si="12"/>
        <v>43876</v>
      </c>
      <c r="B32" s="3">
        <f t="shared" si="1"/>
        <v>0.75</v>
      </c>
      <c r="C32" s="18">
        <f t="shared" si="11"/>
        <v>6.8478260869565215</v>
      </c>
      <c r="D32" s="18">
        <f t="shared" si="0"/>
        <v>0.70836786475095925</v>
      </c>
      <c r="E32" s="18">
        <f t="shared" si="2"/>
        <v>2.4618154781219145E-2</v>
      </c>
      <c r="F32" s="18">
        <f t="shared" si="3"/>
        <v>8.4290421261782947E-2</v>
      </c>
      <c r="G32" s="18">
        <f t="shared" si="4"/>
        <v>2.4413697455650425E-2</v>
      </c>
      <c r="H32" s="18">
        <f t="shared" si="5"/>
        <v>9.5001616110145196E-2</v>
      </c>
      <c r="I32" s="18"/>
      <c r="J32" s="16">
        <v>6</v>
      </c>
      <c r="K32" s="18">
        <f t="shared" si="6"/>
        <v>0.70836586814466629</v>
      </c>
      <c r="L32" s="18">
        <f t="shared" si="7"/>
        <v>2.4618085392381146E-2</v>
      </c>
      <c r="M32" s="18">
        <f t="shared" si="8"/>
        <v>8.4290183680435449E-2</v>
      </c>
      <c r="N32" s="18">
        <f t="shared" si="9"/>
        <v>2.4417459374166599E-2</v>
      </c>
      <c r="O32" s="40">
        <f t="shared" si="10"/>
        <v>8.5798522578341835E-2</v>
      </c>
    </row>
    <row r="33" spans="1:15" x14ac:dyDescent="0.25">
      <c r="A33" s="4">
        <f t="shared" si="12"/>
        <v>44058</v>
      </c>
      <c r="B33" s="3">
        <f t="shared" si="1"/>
        <v>0.75</v>
      </c>
      <c r="C33" s="18">
        <f t="shared" si="11"/>
        <v>7.8478260869565215</v>
      </c>
      <c r="D33" s="18">
        <f t="shared" si="0"/>
        <v>0.70248476748258493</v>
      </c>
      <c r="E33" s="18">
        <f t="shared" si="2"/>
        <v>2.797887232218985E-2</v>
      </c>
      <c r="F33" s="18">
        <f t="shared" si="3"/>
        <v>0.10978666204685365</v>
      </c>
      <c r="G33" s="18">
        <f t="shared" si="4"/>
        <v>2.7746503752804311E-2</v>
      </c>
      <c r="H33" s="18">
        <f t="shared" si="5"/>
        <v>0.12172867902634735</v>
      </c>
      <c r="I33" s="18"/>
      <c r="J33" s="16">
        <v>7</v>
      </c>
      <c r="K33" s="18">
        <f t="shared" si="6"/>
        <v>0.70248295766739199</v>
      </c>
      <c r="L33" s="18">
        <f t="shared" si="7"/>
        <v>2.7978800239977591E-2</v>
      </c>
      <c r="M33" s="18">
        <f t="shared" si="8"/>
        <v>0.10978637920252077</v>
      </c>
      <c r="N33" s="18">
        <f t="shared" si="9"/>
        <v>2.7750232043113925E-2</v>
      </c>
      <c r="O33" s="40">
        <f t="shared" si="10"/>
        <v>0.11111754061490924</v>
      </c>
    </row>
    <row r="34" spans="1:15" x14ac:dyDescent="0.25">
      <c r="A34" s="4">
        <f t="shared" si="12"/>
        <v>44242</v>
      </c>
      <c r="B34" s="3">
        <f t="shared" si="1"/>
        <v>0.75</v>
      </c>
      <c r="C34" s="18">
        <f t="shared" si="11"/>
        <v>8.8478260869565215</v>
      </c>
      <c r="D34" s="18">
        <f t="shared" si="0"/>
        <v>0.69665053018540835</v>
      </c>
      <c r="E34" s="18">
        <f t="shared" si="2"/>
        <v>3.1282069327953889E-2</v>
      </c>
      <c r="F34" s="18">
        <f t="shared" si="3"/>
        <v>0.13838915452692643</v>
      </c>
      <c r="G34" s="18">
        <f t="shared" si="4"/>
        <v>3.1022267231091295E-2</v>
      </c>
      <c r="H34" s="18">
        <f t="shared" si="5"/>
        <v>0.15148232762101213</v>
      </c>
      <c r="I34" s="18"/>
      <c r="J34" s="16">
        <v>8</v>
      </c>
      <c r="K34" s="18">
        <f t="shared" si="6"/>
        <v>0.69664890419641889</v>
      </c>
      <c r="L34" s="18">
        <f t="shared" si="7"/>
        <v>3.1281996315197298E-2</v>
      </c>
      <c r="M34" s="18">
        <f t="shared" si="8"/>
        <v>0.13838883152484022</v>
      </c>
      <c r="N34" s="18">
        <f t="shared" si="9"/>
        <v>3.1025963891365884E-2</v>
      </c>
      <c r="O34" s="40">
        <f t="shared" si="10"/>
        <v>0.13948717322808682</v>
      </c>
    </row>
    <row r="35" spans="1:15" x14ac:dyDescent="0.25">
      <c r="A35" s="4">
        <f t="shared" si="12"/>
        <v>44423</v>
      </c>
      <c r="B35" s="3">
        <f t="shared" si="1"/>
        <v>0.75</v>
      </c>
      <c r="C35" s="18">
        <f t="shared" si="11"/>
        <v>9.8478260869565215</v>
      </c>
      <c r="D35" s="18">
        <f t="shared" si="0"/>
        <v>0.69086474707032286</v>
      </c>
      <c r="E35" s="18">
        <f t="shared" si="2"/>
        <v>3.452846942428589E-2</v>
      </c>
      <c r="F35" s="18">
        <f t="shared" si="3"/>
        <v>0.1700151809695816</v>
      </c>
      <c r="G35" s="18">
        <f t="shared" si="4"/>
        <v>3.4241705506469572E-2</v>
      </c>
      <c r="H35" s="18">
        <f t="shared" si="5"/>
        <v>0.18418156824964893</v>
      </c>
      <c r="I35" s="18"/>
      <c r="J35" s="16">
        <v>9</v>
      </c>
      <c r="K35" s="18">
        <f t="shared" si="6"/>
        <v>0.69086330197900381</v>
      </c>
      <c r="L35" s="18">
        <f t="shared" si="7"/>
        <v>3.4528397200490918E-2</v>
      </c>
      <c r="M35" s="18">
        <f t="shared" si="8"/>
        <v>0.17001482534589549</v>
      </c>
      <c r="N35" s="18">
        <f t="shared" si="9"/>
        <v>3.4245372489899527E-2</v>
      </c>
      <c r="O35" s="40">
        <f t="shared" si="10"/>
        <v>0.17082612722291501</v>
      </c>
    </row>
    <row r="36" spans="1:15" x14ac:dyDescent="0.25">
      <c r="A36" s="4">
        <f t="shared" si="12"/>
        <v>44607</v>
      </c>
      <c r="B36" s="3">
        <f t="shared" si="1"/>
        <v>0.75</v>
      </c>
      <c r="C36" s="18">
        <f t="shared" si="11"/>
        <v>10.847826086956522</v>
      </c>
      <c r="D36" s="18">
        <f t="shared" si="0"/>
        <v>0.68512701571835866</v>
      </c>
      <c r="E36" s="18">
        <f t="shared" si="2"/>
        <v>3.7718788184830723E-2</v>
      </c>
      <c r="F36" s="18">
        <f t="shared" si="3"/>
        <v>0.20458342721989706</v>
      </c>
      <c r="G36" s="18">
        <f t="shared" si="4"/>
        <v>3.7405528209641728E-2</v>
      </c>
      <c r="H36" s="18">
        <f t="shared" si="5"/>
        <v>0.21974678366878184</v>
      </c>
      <c r="I36" s="18"/>
      <c r="J36" s="16">
        <v>10</v>
      </c>
      <c r="K36" s="18">
        <f t="shared" si="6"/>
        <v>0.68512574863214115</v>
      </c>
      <c r="L36" s="18">
        <f t="shared" si="7"/>
        <v>3.7718718426895566E-2</v>
      </c>
      <c r="M36" s="18">
        <f t="shared" si="8"/>
        <v>0.20458304885892267</v>
      </c>
      <c r="N36" s="18">
        <f t="shared" si="9"/>
        <v>3.7409167425162808E-2</v>
      </c>
      <c r="O36" s="40">
        <f t="shared" si="10"/>
        <v>0.20505448908245269</v>
      </c>
    </row>
    <row r="37" spans="1:15" x14ac:dyDescent="0.25">
      <c r="A37" s="4">
        <f t="shared" si="12"/>
        <v>44788</v>
      </c>
      <c r="B37" s="3">
        <f t="shared" si="1"/>
        <v>0.75</v>
      </c>
      <c r="C37" s="18">
        <f t="shared" si="11"/>
        <v>11.847826086956522</v>
      </c>
      <c r="D37" s="18">
        <f t="shared" si="0"/>
        <v>0.6794369370526937</v>
      </c>
      <c r="E37" s="18">
        <f t="shared" si="2"/>
        <v>4.0853733214939361E-2</v>
      </c>
      <c r="F37" s="18">
        <f t="shared" si="3"/>
        <v>0.24201396306676035</v>
      </c>
      <c r="G37" s="18">
        <f t="shared" si="4"/>
        <v>4.0514437069194241E-2</v>
      </c>
      <c r="H37" s="18">
        <f t="shared" si="5"/>
        <v>0.25809971376825258</v>
      </c>
      <c r="I37" s="18"/>
      <c r="J37" s="16">
        <v>11</v>
      </c>
      <c r="K37" s="18">
        <f t="shared" si="6"/>
        <v>0.67943584511457733</v>
      </c>
      <c r="L37" s="18">
        <f t="shared" si="7"/>
        <v>4.085366755786074E-2</v>
      </c>
      <c r="M37" s="18">
        <f t="shared" si="8"/>
        <v>0.2420135741199359</v>
      </c>
      <c r="N37" s="18">
        <f t="shared" si="9"/>
        <v>4.0518050382204095E-2</v>
      </c>
      <c r="O37" s="40">
        <f t="shared" si="10"/>
        <v>0.24209370566682509</v>
      </c>
    </row>
    <row r="38" spans="1:15" x14ac:dyDescent="0.25">
      <c r="A38" s="4">
        <f t="shared" si="12"/>
        <v>44972</v>
      </c>
      <c r="B38" s="3">
        <f t="shared" si="1"/>
        <v>0.75</v>
      </c>
      <c r="C38" s="18">
        <f t="shared" si="11"/>
        <v>12.847826086956522</v>
      </c>
      <c r="D38" s="18">
        <f t="shared" si="0"/>
        <v>0.67379411531089628</v>
      </c>
      <c r="E38" s="18">
        <f t="shared" si="2"/>
        <v>4.3934004234667513E-2</v>
      </c>
      <c r="F38" s="18">
        <f t="shared" si="3"/>
        <v>0.2822282228553098</v>
      </c>
      <c r="G38" s="18">
        <f t="shared" si="4"/>
        <v>4.3569125993906853E-2</v>
      </c>
      <c r="H38" s="18">
        <f t="shared" si="5"/>
        <v>0.2991634365451708</v>
      </c>
      <c r="I38" s="18"/>
      <c r="J38" s="16">
        <v>12</v>
      </c>
      <c r="K38" s="18">
        <f t="shared" si="6"/>
        <v>0.67379319569905793</v>
      </c>
      <c r="L38" s="18">
        <f t="shared" si="7"/>
        <v>4.3933944272237208E-2</v>
      </c>
      <c r="M38" s="18">
        <f t="shared" si="8"/>
        <v>0.28222783766187165</v>
      </c>
      <c r="N38" s="18">
        <f t="shared" si="9"/>
        <v>4.3572715226971835E-2</v>
      </c>
      <c r="O38" s="40">
        <f t="shared" si="10"/>
        <v>0.28186656515423936</v>
      </c>
    </row>
    <row r="39" spans="1:15" x14ac:dyDescent="0.25">
      <c r="A39" s="4">
        <f t="shared" si="12"/>
        <v>45153</v>
      </c>
      <c r="B39" s="3">
        <f t="shared" si="1"/>
        <v>0.75</v>
      </c>
      <c r="C39" s="18">
        <f t="shared" si="11"/>
        <v>13.847826086956522</v>
      </c>
      <c r="D39" s="18">
        <f t="shared" si="0"/>
        <v>0.66819815801739901</v>
      </c>
      <c r="E39" s="18">
        <f t="shared" si="2"/>
        <v>4.6960293160945285E-2</v>
      </c>
      <c r="F39" s="18">
        <f t="shared" si="3"/>
        <v>0.32514898634263206</v>
      </c>
      <c r="G39" s="18">
        <f t="shared" si="4"/>
        <v>4.6570281154239793E-2</v>
      </c>
      <c r="H39" s="18">
        <f t="shared" si="5"/>
        <v>0.34286234931668846</v>
      </c>
      <c r="I39" s="18"/>
      <c r="J39" s="16">
        <v>13</v>
      </c>
      <c r="K39" s="18">
        <f t="shared" si="6"/>
        <v>0.66819740794480553</v>
      </c>
      <c r="L39" s="18">
        <f t="shared" si="7"/>
        <v>4.6960240446437061E-2</v>
      </c>
      <c r="M39" s="18">
        <f t="shared" si="8"/>
        <v>0.32514862135196093</v>
      </c>
      <c r="N39" s="18">
        <f t="shared" si="9"/>
        <v>4.6573848087792004E-2</v>
      </c>
      <c r="O39" s="40">
        <f t="shared" si="10"/>
        <v>0.32429717822114174</v>
      </c>
    </row>
    <row r="40" spans="1:15" x14ac:dyDescent="0.25">
      <c r="A40" s="4">
        <f t="shared" si="12"/>
        <v>45337</v>
      </c>
      <c r="B40" s="3">
        <f t="shared" si="1"/>
        <v>0.75</v>
      </c>
      <c r="C40" s="18">
        <f t="shared" si="11"/>
        <v>14.847826086956522</v>
      </c>
      <c r="D40" s="18">
        <f t="shared" si="0"/>
        <v>0.66264867595620058</v>
      </c>
      <c r="E40" s="18">
        <f t="shared" si="2"/>
        <v>4.9933284188925856E-2</v>
      </c>
      <c r="F40" s="18">
        <f t="shared" si="3"/>
        <v>0.37070035979387345</v>
      </c>
      <c r="G40" s="18">
        <f t="shared" si="4"/>
        <v>4.9518581063006814E-2</v>
      </c>
      <c r="H40" s="18">
        <f t="shared" si="5"/>
        <v>0.38912215016880791</v>
      </c>
      <c r="I40" s="18"/>
      <c r="J40" s="16">
        <v>14</v>
      </c>
      <c r="K40" s="18">
        <f t="shared" si="6"/>
        <v>0.66264809267022595</v>
      </c>
      <c r="L40" s="18">
        <f t="shared" si="7"/>
        <v>4.9933240235772842E-2</v>
      </c>
      <c r="M40" s="18">
        <f t="shared" si="8"/>
        <v>0.37070003348948749</v>
      </c>
      <c r="N40" s="18">
        <f t="shared" si="9"/>
        <v>4.9522127436031599E-2</v>
      </c>
      <c r="O40" s="40">
        <f t="shared" si="10"/>
        <v>0.36931095945872411</v>
      </c>
    </row>
    <row r="41" spans="1:15" x14ac:dyDescent="0.25">
      <c r="A41" s="4">
        <f t="shared" si="12"/>
        <v>45519</v>
      </c>
      <c r="B41" s="3">
        <f t="shared" si="1"/>
        <v>0.75</v>
      </c>
      <c r="C41" s="18">
        <f t="shared" si="11"/>
        <v>15.847826086956522</v>
      </c>
      <c r="D41" s="18">
        <f t="shared" si="0"/>
        <v>0.65714528314379472</v>
      </c>
      <c r="E41" s="18">
        <f t="shared" si="2"/>
        <v>5.2853653872521188E-2</v>
      </c>
      <c r="F41" s="18">
        <f t="shared" si="3"/>
        <v>0.41880775731595593</v>
      </c>
      <c r="G41" s="18">
        <f t="shared" si="4"/>
        <v>5.2414696655242066E-2</v>
      </c>
      <c r="H41" s="18">
        <f t="shared" si="5"/>
        <v>0.43786981963846416</v>
      </c>
      <c r="I41" s="18"/>
      <c r="J41" s="16">
        <v>15</v>
      </c>
      <c r="K41" s="18">
        <f t="shared" si="6"/>
        <v>0.65714486392584004</v>
      </c>
      <c r="L41" s="18">
        <f t="shared" si="7"/>
        <v>5.2853620154983759E-2</v>
      </c>
      <c r="M41" s="18">
        <f t="shared" si="8"/>
        <v>0.41880749014112134</v>
      </c>
      <c r="N41" s="18">
        <f t="shared" si="9"/>
        <v>5.2418224165956012E-2</v>
      </c>
      <c r="O41" s="40">
        <f t="shared" si="10"/>
        <v>0.41683460902301517</v>
      </c>
    </row>
    <row r="42" spans="1:15" x14ac:dyDescent="0.25">
      <c r="A42" s="4">
        <f t="shared" si="12"/>
        <v>45703</v>
      </c>
      <c r="B42" s="3">
        <f t="shared" si="1"/>
        <v>0.75</v>
      </c>
      <c r="C42" s="18">
        <f t="shared" si="11"/>
        <v>16.847826086956523</v>
      </c>
      <c r="D42" s="18">
        <f t="shared" si="0"/>
        <v>0.65168759680232369</v>
      </c>
      <c r="E42" s="18">
        <f t="shared" si="2"/>
        <v>5.5722071204132521E-2</v>
      </c>
      <c r="F42" s="18">
        <f t="shared" si="3"/>
        <v>0.46939788242611641</v>
      </c>
      <c r="G42" s="18">
        <f t="shared" si="4"/>
        <v>5.5259291367268461E-2</v>
      </c>
      <c r="H42" s="18">
        <f t="shared" si="5"/>
        <v>0.48903360262615136</v>
      </c>
      <c r="I42" s="18"/>
      <c r="J42" s="16">
        <v>16</v>
      </c>
      <c r="K42" s="18">
        <f t="shared" si="6"/>
        <v>0.65168733896744258</v>
      </c>
      <c r="L42" s="18">
        <f t="shared" si="7"/>
        <v>5.5722049157957115E-2</v>
      </c>
      <c r="M42" s="18">
        <f t="shared" si="8"/>
        <v>0.4693976967110518</v>
      </c>
      <c r="N42" s="18">
        <f t="shared" si="9"/>
        <v>5.5262801673788144E-2</v>
      </c>
      <c r="O42" s="40">
        <f t="shared" si="10"/>
        <v>0.46679609451582599</v>
      </c>
    </row>
    <row r="43" spans="1:15" x14ac:dyDescent="0.25">
      <c r="A43" s="4">
        <f t="shared" si="12"/>
        <v>45884</v>
      </c>
      <c r="B43" s="3">
        <f t="shared" si="1"/>
        <v>0.75</v>
      </c>
      <c r="C43" s="18">
        <f t="shared" si="11"/>
        <v>17.847826086956523</v>
      </c>
      <c r="D43" s="18">
        <f t="shared" si="0"/>
        <v>0.64627523733295522</v>
      </c>
      <c r="E43" s="18">
        <f t="shared" si="2"/>
        <v>5.8539197693583747E-2</v>
      </c>
      <c r="F43" s="18">
        <f t="shared" si="3"/>
        <v>0.52239870985252457</v>
      </c>
      <c r="G43" s="18">
        <f t="shared" si="4"/>
        <v>5.8053021214975395E-2</v>
      </c>
      <c r="H43" s="18">
        <f t="shared" si="5"/>
        <v>0.54254299053639543</v>
      </c>
      <c r="I43" s="18"/>
      <c r="J43" s="16">
        <v>17</v>
      </c>
      <c r="K43" s="18">
        <f t="shared" si="6"/>
        <v>0.6462751382294819</v>
      </c>
      <c r="L43" s="18">
        <f t="shared" si="7"/>
        <v>5.8539188716652257E-2</v>
      </c>
      <c r="M43" s="18">
        <f t="shared" si="8"/>
        <v>0.52239862974316853</v>
      </c>
      <c r="N43" s="18">
        <f t="shared" si="9"/>
        <v>5.8056515935976834E-2</v>
      </c>
      <c r="O43" s="40">
        <f t="shared" si="10"/>
        <v>0.5191246330938466</v>
      </c>
    </row>
    <row r="44" spans="1:15" x14ac:dyDescent="0.25">
      <c r="A44" s="4">
        <f t="shared" si="12"/>
        <v>46068</v>
      </c>
      <c r="B44" s="3">
        <f t="shared" si="1"/>
        <v>0.75</v>
      </c>
      <c r="C44" s="18">
        <f t="shared" si="11"/>
        <v>18.847826086956523</v>
      </c>
      <c r="D44" s="18">
        <f t="shared" si="0"/>
        <v>0.64090782828948012</v>
      </c>
      <c r="E44" s="18">
        <f t="shared" si="2"/>
        <v>6.130568744626512E-2</v>
      </c>
      <c r="F44" s="18">
        <f t="shared" si="3"/>
        <v>0.57773946756425942</v>
      </c>
      <c r="G44" s="18">
        <f t="shared" si="4"/>
        <v>6.0796534871313493E-2</v>
      </c>
      <c r="H44" s="18">
        <f t="shared" si="5"/>
        <v>0.59832870364340407</v>
      </c>
      <c r="I44" s="18"/>
      <c r="J44" s="16">
        <v>18</v>
      </c>
      <c r="K44" s="18">
        <f t="shared" si="6"/>
        <v>0.64090788529866216</v>
      </c>
      <c r="L44" s="18">
        <f t="shared" si="7"/>
        <v>6.1305692899235403E-2</v>
      </c>
      <c r="M44" s="18">
        <f t="shared" si="8"/>
        <v>0.57773951895257725</v>
      </c>
      <c r="N44" s="18">
        <f t="shared" si="9"/>
        <v>6.0800015586682542E-2</v>
      </c>
      <c r="O44" s="40">
        <f t="shared" si="10"/>
        <v>0.57375067380322364</v>
      </c>
    </row>
    <row r="45" spans="1:15" x14ac:dyDescent="0.25">
      <c r="A45" s="4">
        <f t="shared" si="12"/>
        <v>46249</v>
      </c>
      <c r="B45" s="3">
        <f>100+$B$8/2</f>
        <v>100.75</v>
      </c>
      <c r="C45" s="18">
        <f t="shared" si="11"/>
        <v>19.847826086956523</v>
      </c>
      <c r="D45" s="18">
        <f t="shared" si="0"/>
        <v>85.380251176636008</v>
      </c>
      <c r="E45" s="18">
        <f t="shared" si="2"/>
        <v>8.6003138193065052</v>
      </c>
      <c r="F45" s="18">
        <f t="shared" si="3"/>
        <v>85.348766489422161</v>
      </c>
      <c r="G45" s="18">
        <f t="shared" si="4"/>
        <v>8.5288869728115504</v>
      </c>
      <c r="H45" s="18">
        <f t="shared" si="5"/>
        <v>88.166012497579743</v>
      </c>
      <c r="I45" s="18"/>
      <c r="J45" s="16">
        <v>19</v>
      </c>
      <c r="K45" s="18">
        <f t="shared" si="6"/>
        <v>85.380279458589527</v>
      </c>
      <c r="L45" s="18">
        <f t="shared" si="7"/>
        <v>8.6003166681050889</v>
      </c>
      <c r="M45" s="18">
        <f t="shared" si="8"/>
        <v>85.348794760651586</v>
      </c>
      <c r="N45" s="18">
        <f t="shared" si="9"/>
        <v>8.5293528745928455</v>
      </c>
      <c r="O45" s="40">
        <f t="shared" si="10"/>
        <v>84.71138989840054</v>
      </c>
    </row>
    <row r="46" spans="1:15" x14ac:dyDescent="0.25">
      <c r="A46" s="4"/>
      <c r="D46" s="42">
        <f>SUM(D26:D45)</f>
        <v>98.520380315097825</v>
      </c>
      <c r="E46" s="48">
        <f>SUM(E26:E45)</f>
        <v>9.2403615633282641</v>
      </c>
      <c r="F46" s="48">
        <f>SUM(F26:F45)</f>
        <v>89.419323655945476</v>
      </c>
      <c r="G46" s="48">
        <f>SUM(G26:G45)</f>
        <v>9.1636190280198306</v>
      </c>
      <c r="H46" s="48">
        <f>SUM(H26:H45)</f>
        <v>92.483967560931163</v>
      </c>
      <c r="I46" s="42"/>
      <c r="J46" s="42"/>
      <c r="K46" s="49">
        <f>SUM(K26:K45)</f>
        <v>98.520380315438217</v>
      </c>
      <c r="L46" s="48">
        <f>SUM(L26:L45)</f>
        <v>9.2403635186767445</v>
      </c>
      <c r="M46" s="48">
        <f>SUM(M26:M45)</f>
        <v>89.41934788566779</v>
      </c>
      <c r="N46" s="48">
        <f>SUM(N26:N45)</f>
        <v>9.1641551474318721</v>
      </c>
      <c r="O46" s="48">
        <f>SUM(O26:O45)</f>
        <v>88.782274076859792</v>
      </c>
    </row>
    <row r="47" spans="1:15" x14ac:dyDescent="0.25">
      <c r="A47" s="4"/>
      <c r="C47" s="2" t="s">
        <v>94</v>
      </c>
      <c r="D47" s="47">
        <f>D46-B18</f>
        <v>-1.1968478474955191E-7</v>
      </c>
      <c r="E47" s="47"/>
      <c r="F47" s="47"/>
      <c r="G47" s="48">
        <f>E46/(1+D24/2)</f>
        <v>9.1636190280198342</v>
      </c>
      <c r="H47" s="48">
        <f>(F46+ E46/2)/(1+D24/2)^2</f>
        <v>92.483967560931177</v>
      </c>
      <c r="I47" s="47"/>
      <c r="J47" s="2" t="s">
        <v>94</v>
      </c>
      <c r="K47" s="47">
        <f>K46-B18</f>
        <v>-1.1934439214655868E-7</v>
      </c>
    </row>
    <row r="48" spans="1:15" x14ac:dyDescent="0.25">
      <c r="A48" s="4"/>
    </row>
    <row r="49" spans="1:1" x14ac:dyDescent="0.25">
      <c r="A49" s="4"/>
    </row>
    <row r="50" spans="1:1" x14ac:dyDescent="0.25">
      <c r="A50" s="4"/>
    </row>
  </sheetData>
  <mergeCells count="2">
    <mergeCell ref="C22:H22"/>
    <mergeCell ref="J22:O2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Q76"/>
  <sheetViews>
    <sheetView topLeftCell="A4" zoomScale="80" zoomScaleNormal="80" zoomScalePageLayoutView="85" workbookViewId="0">
      <selection activeCell="F3" sqref="F3"/>
    </sheetView>
  </sheetViews>
  <sheetFormatPr defaultColWidth="8.85546875" defaultRowHeight="15" x14ac:dyDescent="0.25"/>
  <cols>
    <col min="1" max="1" width="14.28515625" style="3" customWidth="1"/>
    <col min="2" max="2" width="21.140625" style="3" customWidth="1"/>
    <col min="3" max="3" width="16.140625" style="2" bestFit="1" customWidth="1"/>
    <col min="4" max="4" width="10.85546875" style="2" customWidth="1"/>
    <col min="5" max="5" width="14.42578125" style="2" customWidth="1"/>
    <col min="6" max="6" width="9.5703125" style="3" customWidth="1"/>
    <col min="7" max="7" width="12.140625" style="3" customWidth="1"/>
    <col min="8" max="8" width="11.140625" style="3" customWidth="1"/>
    <col min="9" max="9" width="10.42578125" style="19" customWidth="1"/>
    <col min="10" max="10" width="12.85546875" style="3" bestFit="1" customWidth="1"/>
    <col min="11" max="11" width="13.85546875" style="3" bestFit="1" customWidth="1"/>
    <col min="12" max="12" width="17.42578125" style="3" bestFit="1" customWidth="1"/>
    <col min="13" max="13" width="8.140625" style="3" bestFit="1" customWidth="1"/>
    <col min="14" max="14" width="10.140625" style="3" bestFit="1" customWidth="1"/>
    <col min="15" max="15" width="13.42578125" style="3" customWidth="1"/>
    <col min="16" max="16" width="9.7109375" style="3" customWidth="1"/>
    <col min="17" max="17" width="13.42578125" style="3" customWidth="1"/>
    <col min="18" max="16384" width="8.85546875" style="3"/>
  </cols>
  <sheetData>
    <row r="2" spans="1:17" x14ac:dyDescent="0.25">
      <c r="A2" s="3" t="s">
        <v>84</v>
      </c>
      <c r="B2" s="3">
        <v>0.5</v>
      </c>
      <c r="C2" s="3"/>
      <c r="D2" s="3"/>
      <c r="E2" s="3"/>
      <c r="I2" s="3"/>
      <c r="K2" s="1" t="s">
        <v>31</v>
      </c>
      <c r="L2" s="3" t="s">
        <v>80</v>
      </c>
      <c r="M2" s="2"/>
      <c r="N2" s="2"/>
      <c r="O2" s="2"/>
    </row>
    <row r="3" spans="1:17" x14ac:dyDescent="0.25">
      <c r="A3" s="3" t="s">
        <v>85</v>
      </c>
      <c r="B3" s="3">
        <v>0.5</v>
      </c>
      <c r="C3" s="3"/>
      <c r="D3" s="3"/>
      <c r="E3" s="3"/>
      <c r="I3" s="3"/>
      <c r="J3" s="1"/>
      <c r="K3" s="4"/>
      <c r="M3" s="2"/>
      <c r="N3" s="2"/>
      <c r="O3" s="2"/>
    </row>
    <row r="4" spans="1:17" x14ac:dyDescent="0.25">
      <c r="A4" s="3" t="s">
        <v>86</v>
      </c>
      <c r="B4" s="23">
        <f>1/(1+$B$3/2)</f>
        <v>0.8</v>
      </c>
      <c r="C4" s="3"/>
      <c r="D4" s="3"/>
      <c r="E4" s="3"/>
      <c r="I4" s="3"/>
      <c r="J4" s="4"/>
      <c r="K4" s="5" t="s">
        <v>30</v>
      </c>
      <c r="M4" s="2"/>
      <c r="N4" s="2"/>
      <c r="O4" s="51" t="s">
        <v>32</v>
      </c>
    </row>
    <row r="5" spans="1:17" x14ac:dyDescent="0.25">
      <c r="C5" s="3"/>
      <c r="D5" s="3"/>
      <c r="E5" s="3"/>
      <c r="I5" s="3"/>
      <c r="J5" s="5"/>
      <c r="K5" s="3" t="s">
        <v>35</v>
      </c>
      <c r="L5" s="8"/>
      <c r="M5" s="2"/>
      <c r="N5" s="2"/>
      <c r="O5" s="2" t="s">
        <v>59</v>
      </c>
      <c r="P5" s="27" t="s">
        <v>60</v>
      </c>
      <c r="Q5" s="13">
        <f>DOLLARFR(P6,32)</f>
        <v>99.105000000000004</v>
      </c>
    </row>
    <row r="6" spans="1:17" x14ac:dyDescent="0.25">
      <c r="A6" s="2" t="s">
        <v>87</v>
      </c>
      <c r="B6" s="2" t="s">
        <v>88</v>
      </c>
      <c r="C6" s="2" t="s">
        <v>81</v>
      </c>
      <c r="D6" s="2" t="s">
        <v>82</v>
      </c>
      <c r="E6" s="2" t="s">
        <v>83</v>
      </c>
      <c r="F6" s="2" t="s">
        <v>89</v>
      </c>
      <c r="G6" s="3" t="s">
        <v>90</v>
      </c>
      <c r="H6" s="3" t="s">
        <v>91</v>
      </c>
      <c r="I6" s="3"/>
      <c r="K6" s="3" t="s">
        <v>29</v>
      </c>
      <c r="L6" s="8">
        <v>39583</v>
      </c>
      <c r="M6" s="8"/>
      <c r="N6" s="2"/>
      <c r="O6" s="2" t="s">
        <v>61</v>
      </c>
      <c r="P6" s="23">
        <f>(99+10.5/32)</f>
        <v>99.328125</v>
      </c>
      <c r="Q6" s="23">
        <f>DOLLARDE(Q5,32)</f>
        <v>99.328125000000014</v>
      </c>
    </row>
    <row r="7" spans="1:17" x14ac:dyDescent="0.25">
      <c r="A7" s="3">
        <v>0</v>
      </c>
      <c r="B7" s="30">
        <f t="shared" ref="B7:B18" si="0">A7/0.5</f>
        <v>0</v>
      </c>
      <c r="C7" s="3"/>
      <c r="D7" s="24">
        <f t="shared" ref="D7:D12" si="1">($B$2/2)*(B7-$B$7)</f>
        <v>0</v>
      </c>
      <c r="E7" s="23">
        <f t="shared" ref="E7:E12" si="2">$C$12*$B$4^($B$12-B7)+$C$18*$B$4^($B$18-B7)</f>
        <v>1.0000000000000002</v>
      </c>
      <c r="F7" s="23">
        <f t="shared" ref="F7:F18" si="3">E7-D7</f>
        <v>1.0000000000000002</v>
      </c>
      <c r="G7" s="23">
        <f>E7-$E$7</f>
        <v>0</v>
      </c>
      <c r="H7" s="20">
        <f>D7-G7</f>
        <v>0</v>
      </c>
      <c r="I7" s="3"/>
      <c r="K7" s="13" t="s">
        <v>2</v>
      </c>
      <c r="L7" s="8">
        <v>39626</v>
      </c>
      <c r="M7" s="8"/>
      <c r="N7" s="2"/>
      <c r="O7" s="2"/>
      <c r="P7" s="23"/>
    </row>
    <row r="8" spans="1:17" x14ac:dyDescent="0.25">
      <c r="A8" s="30">
        <v>0.1</v>
      </c>
      <c r="B8" s="30">
        <f t="shared" si="0"/>
        <v>0.2</v>
      </c>
      <c r="C8" s="3"/>
      <c r="D8" s="24">
        <f t="shared" si="1"/>
        <v>0.05</v>
      </c>
      <c r="E8" s="23">
        <f t="shared" si="2"/>
        <v>1.0456395525912734</v>
      </c>
      <c r="F8" s="23">
        <f t="shared" si="3"/>
        <v>0.99563955259127335</v>
      </c>
      <c r="G8" s="23">
        <f t="shared" ref="G8:G12" si="4">E8-$E$7</f>
        <v>4.5639552591273169E-2</v>
      </c>
      <c r="H8" s="20">
        <f>D8-G8</f>
        <v>4.3604474087268336E-3</v>
      </c>
      <c r="I8" s="11"/>
      <c r="J8" s="13"/>
      <c r="K8" s="13" t="s">
        <v>6</v>
      </c>
      <c r="L8" s="8">
        <v>43235</v>
      </c>
      <c r="M8" s="8"/>
      <c r="N8" s="2"/>
      <c r="O8" s="2" t="s">
        <v>62</v>
      </c>
      <c r="P8" s="23">
        <f>P6+L15</f>
        <v>99.780910326086953</v>
      </c>
    </row>
    <row r="9" spans="1:17" x14ac:dyDescent="0.25">
      <c r="A9" s="30">
        <v>0.2</v>
      </c>
      <c r="B9" s="30">
        <f t="shared" si="0"/>
        <v>0.4</v>
      </c>
      <c r="C9" s="3"/>
      <c r="D9" s="24">
        <f t="shared" si="1"/>
        <v>0.1</v>
      </c>
      <c r="E9" s="23">
        <f t="shared" si="2"/>
        <v>1.0933620739432781</v>
      </c>
      <c r="F9" s="23">
        <f t="shared" si="3"/>
        <v>0.99336207394327813</v>
      </c>
      <c r="G9" s="23">
        <f t="shared" si="4"/>
        <v>9.336207394327789E-2</v>
      </c>
      <c r="H9" s="20">
        <f t="shared" ref="H9:H18" si="5">D9-G9</f>
        <v>6.6379260567221154E-3</v>
      </c>
      <c r="I9" s="11"/>
      <c r="J9" s="13"/>
      <c r="K9" s="13" t="s">
        <v>63</v>
      </c>
      <c r="L9" s="18">
        <v>3.875</v>
      </c>
      <c r="M9" s="2"/>
      <c r="N9" s="2"/>
      <c r="O9" s="2"/>
      <c r="P9" s="23"/>
    </row>
    <row r="10" spans="1:17" x14ac:dyDescent="0.25">
      <c r="A10" s="30">
        <v>0.3</v>
      </c>
      <c r="B10" s="30">
        <f t="shared" si="0"/>
        <v>0.6</v>
      </c>
      <c r="C10" s="3"/>
      <c r="D10" s="24">
        <f t="shared" si="1"/>
        <v>0.15</v>
      </c>
      <c r="E10" s="23">
        <f t="shared" si="2"/>
        <v>1.1432626298183159</v>
      </c>
      <c r="F10" s="23">
        <f t="shared" si="3"/>
        <v>0.99326262981831592</v>
      </c>
      <c r="G10" s="23">
        <f t="shared" si="4"/>
        <v>0.14326262981831572</v>
      </c>
      <c r="H10" s="20">
        <f t="shared" si="5"/>
        <v>6.7373701816842713E-3</v>
      </c>
      <c r="I10" s="11"/>
      <c r="J10" s="13"/>
      <c r="K10" s="3" t="s">
        <v>64</v>
      </c>
      <c r="L10" s="8">
        <v>39767</v>
      </c>
      <c r="M10" s="2"/>
      <c r="N10" s="2"/>
      <c r="O10" s="2" t="s">
        <v>65</v>
      </c>
      <c r="P10" s="23">
        <f>YIELD(L7,L8,L9,P6,100,2,1)</f>
        <v>3.3763346722971477</v>
      </c>
    </row>
    <row r="11" spans="1:17" x14ac:dyDescent="0.25">
      <c r="A11" s="30">
        <v>0.4</v>
      </c>
      <c r="B11" s="30">
        <f t="shared" si="0"/>
        <v>0.8</v>
      </c>
      <c r="C11" s="3"/>
      <c r="D11" s="24">
        <f t="shared" si="1"/>
        <v>0.2</v>
      </c>
      <c r="E11" s="23">
        <f t="shared" si="2"/>
        <v>1.1954406247375462</v>
      </c>
      <c r="F11" s="23">
        <f t="shared" si="3"/>
        <v>0.99544062473754624</v>
      </c>
      <c r="G11" s="23">
        <f t="shared" si="4"/>
        <v>0.19544062473754598</v>
      </c>
      <c r="H11" s="20">
        <f t="shared" si="5"/>
        <v>4.5593752624540351E-3</v>
      </c>
      <c r="I11" s="11"/>
      <c r="K11" s="3" t="s">
        <v>66</v>
      </c>
      <c r="L11" s="8">
        <f>COUPNCD($L$7,$L$8,2,1)</f>
        <v>39767</v>
      </c>
      <c r="M11" s="2"/>
      <c r="N11" s="2"/>
      <c r="O11" s="2"/>
    </row>
    <row r="12" spans="1:17" x14ac:dyDescent="0.25">
      <c r="A12" s="30">
        <v>0.5</v>
      </c>
      <c r="B12" s="30">
        <f t="shared" si="0"/>
        <v>1</v>
      </c>
      <c r="C12" s="3">
        <f>B2/2</f>
        <v>0.25</v>
      </c>
      <c r="D12" s="24">
        <f t="shared" si="1"/>
        <v>0.25</v>
      </c>
      <c r="E12" s="23">
        <f t="shared" si="2"/>
        <v>1.25</v>
      </c>
      <c r="F12" s="23">
        <f t="shared" si="3"/>
        <v>1</v>
      </c>
      <c r="G12" s="23">
        <f t="shared" si="4"/>
        <v>0.24999999999999978</v>
      </c>
      <c r="H12" s="20">
        <f t="shared" si="5"/>
        <v>0</v>
      </c>
      <c r="I12" s="11"/>
      <c r="K12" s="3" t="s">
        <v>67</v>
      </c>
      <c r="L12" s="8">
        <f>COUPPCD($L$7,$L$8,2,1)</f>
        <v>39583</v>
      </c>
      <c r="M12" s="2"/>
      <c r="N12" s="2"/>
      <c r="O12" s="2"/>
    </row>
    <row r="13" spans="1:17" x14ac:dyDescent="0.25">
      <c r="A13" s="31">
        <v>0.51</v>
      </c>
      <c r="B13" s="31">
        <f t="shared" si="0"/>
        <v>1.02</v>
      </c>
      <c r="C13" s="32"/>
      <c r="D13" s="33">
        <f>($B$2/2)*(B13-$B$12)</f>
        <v>5.0000000000000044E-3</v>
      </c>
      <c r="E13" s="34">
        <f t="shared" ref="E13:E18" si="6">$C$18*$B$4^($B$18-B13)</f>
        <v>1.0044728444663891</v>
      </c>
      <c r="F13" s="34">
        <f t="shared" si="3"/>
        <v>0.99947284446638907</v>
      </c>
      <c r="G13" s="34">
        <f>E13-1</f>
        <v>4.4728444663890699E-3</v>
      </c>
      <c r="H13" s="35">
        <f t="shared" si="5"/>
        <v>5.2715553361093459E-4</v>
      </c>
      <c r="I13" s="11"/>
      <c r="K13" s="3" t="s">
        <v>68</v>
      </c>
      <c r="L13" s="3">
        <f>COUPDAYBS($L$7,$L$8,2,1)</f>
        <v>43</v>
      </c>
      <c r="M13" s="2">
        <f>L7-L12</f>
        <v>43</v>
      </c>
      <c r="N13" s="2"/>
      <c r="O13" s="2"/>
      <c r="Q13" s="13"/>
    </row>
    <row r="14" spans="1:17" x14ac:dyDescent="0.25">
      <c r="A14" s="30">
        <v>0.6</v>
      </c>
      <c r="B14" s="30">
        <f t="shared" si="0"/>
        <v>1.2</v>
      </c>
      <c r="C14" s="3"/>
      <c r="D14" s="24">
        <f>($B$2/2)*(B14-$B$12)</f>
        <v>4.9999999999999989E-2</v>
      </c>
      <c r="E14" s="23">
        <f t="shared" si="6"/>
        <v>1.0456395525912734</v>
      </c>
      <c r="F14" s="23">
        <f t="shared" si="3"/>
        <v>0.99563955259127335</v>
      </c>
      <c r="G14" s="37">
        <f t="shared" ref="G14:G18" si="7">E14-1</f>
        <v>4.5639552591273391E-2</v>
      </c>
      <c r="H14" s="20">
        <f t="shared" si="5"/>
        <v>4.3604474087265976E-3</v>
      </c>
      <c r="I14" s="3"/>
      <c r="K14" s="3" t="s">
        <v>69</v>
      </c>
      <c r="L14" s="3">
        <f>COUPDAYS($L$7,$L$8,2,1)</f>
        <v>184</v>
      </c>
      <c r="M14" s="2">
        <f>L10-L6</f>
        <v>184</v>
      </c>
      <c r="N14" s="2"/>
      <c r="O14" s="2"/>
      <c r="Q14" s="13"/>
    </row>
    <row r="15" spans="1:17" x14ac:dyDescent="0.25">
      <c r="A15" s="30">
        <v>0.7</v>
      </c>
      <c r="B15" s="30">
        <f t="shared" si="0"/>
        <v>1.4</v>
      </c>
      <c r="C15" s="3"/>
      <c r="D15" s="24">
        <f>$B$2*(A15-$A$12)</f>
        <v>9.9999999999999978E-2</v>
      </c>
      <c r="E15" s="23">
        <f t="shared" si="6"/>
        <v>1.0933620739432781</v>
      </c>
      <c r="F15" s="23">
        <f t="shared" si="3"/>
        <v>0.99336207394327813</v>
      </c>
      <c r="G15" s="37">
        <f t="shared" si="7"/>
        <v>9.3362073943278112E-2</v>
      </c>
      <c r="H15" s="20">
        <f t="shared" si="5"/>
        <v>6.6379260567218656E-3</v>
      </c>
      <c r="I15" s="3"/>
      <c r="K15" s="3" t="s">
        <v>70</v>
      </c>
      <c r="L15" s="18">
        <f>($L$13/$L$14)*$L$9/2</f>
        <v>0.45278532608695654</v>
      </c>
      <c r="M15" s="18">
        <f>ACCRINT($L$6,$L$10,$L$7,$L$9/100,100,2,1)</f>
        <v>0.45278532608695654</v>
      </c>
      <c r="N15" s="2"/>
      <c r="O15" s="2"/>
    </row>
    <row r="16" spans="1:17" x14ac:dyDescent="0.25">
      <c r="A16" s="30">
        <v>0.8</v>
      </c>
      <c r="B16" s="30">
        <f t="shared" si="0"/>
        <v>1.6</v>
      </c>
      <c r="C16" s="3"/>
      <c r="D16" s="24">
        <f>$B$2*(A16-$A$12)</f>
        <v>0.15000000000000002</v>
      </c>
      <c r="E16" s="23">
        <f t="shared" si="6"/>
        <v>1.1432626298183159</v>
      </c>
      <c r="F16" s="23">
        <f t="shared" si="3"/>
        <v>0.99326262981831592</v>
      </c>
      <c r="G16" s="37">
        <f t="shared" si="7"/>
        <v>0.14326262981831595</v>
      </c>
      <c r="H16" s="20">
        <f t="shared" si="5"/>
        <v>6.737370181684077E-3</v>
      </c>
      <c r="I16" s="3"/>
      <c r="M16" s="2"/>
      <c r="N16" s="2"/>
      <c r="O16" s="2"/>
    </row>
    <row r="17" spans="1:17" x14ac:dyDescent="0.25">
      <c r="A17" s="30">
        <v>0.9</v>
      </c>
      <c r="B17" s="30">
        <f t="shared" si="0"/>
        <v>1.8</v>
      </c>
      <c r="C17" s="3"/>
      <c r="D17" s="24">
        <f>$B$2*(A17-$A$12)</f>
        <v>0.2</v>
      </c>
      <c r="E17" s="23">
        <f t="shared" si="6"/>
        <v>1.1954406247375462</v>
      </c>
      <c r="F17" s="23">
        <f t="shared" si="3"/>
        <v>0.99544062473754624</v>
      </c>
      <c r="G17" s="37">
        <f t="shared" si="7"/>
        <v>0.1954406247375462</v>
      </c>
      <c r="H17" s="20">
        <f t="shared" si="5"/>
        <v>4.5593752624538131E-3</v>
      </c>
      <c r="I17" s="3"/>
      <c r="K17" s="10"/>
      <c r="L17" s="10"/>
      <c r="M17" s="10"/>
      <c r="N17" s="10"/>
      <c r="O17" s="10"/>
      <c r="P17" s="10"/>
      <c r="Q17" s="10"/>
    </row>
    <row r="18" spans="1:17" x14ac:dyDescent="0.25">
      <c r="A18" s="30">
        <v>1</v>
      </c>
      <c r="B18" s="30">
        <f t="shared" si="0"/>
        <v>2</v>
      </c>
      <c r="C18" s="3">
        <f xml:space="preserve"> 1+B2/2</f>
        <v>1.25</v>
      </c>
      <c r="D18" s="24">
        <f>$B$2*(A18-$A$12)</f>
        <v>0.25</v>
      </c>
      <c r="E18" s="23">
        <f t="shared" si="6"/>
        <v>1.25</v>
      </c>
      <c r="F18" s="23">
        <f t="shared" si="3"/>
        <v>1</v>
      </c>
      <c r="G18" s="37">
        <f t="shared" si="7"/>
        <v>0.25</v>
      </c>
      <c r="H18" s="20">
        <f t="shared" si="5"/>
        <v>0</v>
      </c>
      <c r="I18" s="3"/>
      <c r="J18" s="10"/>
      <c r="K18" s="2" t="s">
        <v>35</v>
      </c>
      <c r="L18" s="2" t="s">
        <v>79</v>
      </c>
      <c r="M18" s="2" t="s">
        <v>82</v>
      </c>
      <c r="N18" s="2" t="s">
        <v>89</v>
      </c>
      <c r="O18" s="2" t="s">
        <v>83</v>
      </c>
      <c r="P18" s="2" t="s">
        <v>90</v>
      </c>
      <c r="Q18" s="2" t="s">
        <v>92</v>
      </c>
    </row>
    <row r="19" spans="1:17" x14ac:dyDescent="0.25">
      <c r="A19" s="30"/>
      <c r="B19" s="30"/>
      <c r="C19" s="3"/>
      <c r="D19" s="24"/>
      <c r="E19" s="23"/>
      <c r="F19" s="23"/>
      <c r="G19" s="23"/>
      <c r="H19" s="20"/>
      <c r="I19" s="3"/>
      <c r="J19" s="2"/>
      <c r="K19" s="8">
        <v>39583</v>
      </c>
      <c r="L19" s="2"/>
      <c r="M19" s="23">
        <f t="shared" ref="M19:M25" si="8">($L$9/2)*(K19-$L$6)/$L$14</f>
        <v>0</v>
      </c>
      <c r="N19" s="23">
        <f t="shared" ref="N19:N32" si="9">PRICE(K19,$L$8,$L$9/100,$L$9/100,100,2,1)</f>
        <v>100.00000000000023</v>
      </c>
      <c r="O19" s="23">
        <f>M19+N19</f>
        <v>100.00000000000023</v>
      </c>
      <c r="P19" s="18">
        <f>O19-$O$19</f>
        <v>0</v>
      </c>
      <c r="Q19" s="23">
        <f>M19-P19</f>
        <v>0</v>
      </c>
    </row>
    <row r="20" spans="1:17" x14ac:dyDescent="0.25">
      <c r="J20" s="8"/>
      <c r="K20" s="8">
        <f>EDATE(K19,1)</f>
        <v>39614</v>
      </c>
      <c r="L20" s="2"/>
      <c r="M20" s="23">
        <f t="shared" si="8"/>
        <v>0.32642663043478259</v>
      </c>
      <c r="N20" s="23">
        <f t="shared" si="9"/>
        <v>99.997401196477938</v>
      </c>
      <c r="O20" s="23">
        <f t="shared" ref="O20:O32" si="10">M20+N20</f>
        <v>100.32382782691272</v>
      </c>
      <c r="P20" s="18">
        <f t="shared" ref="P20:P25" si="11">O20-$O$19</f>
        <v>0.3238278269124919</v>
      </c>
      <c r="Q20" s="23">
        <f t="shared" ref="Q20:Q32" si="12">M20-P20</f>
        <v>2.5988035222906936E-3</v>
      </c>
    </row>
    <row r="21" spans="1:17" x14ac:dyDescent="0.25">
      <c r="J21" s="8"/>
      <c r="K21" s="8">
        <f t="shared" ref="K21:K32" si="13">EDATE(K20,1)</f>
        <v>39644</v>
      </c>
      <c r="L21" s="2"/>
      <c r="M21" s="23">
        <f t="shared" si="8"/>
        <v>0.64232336956521741</v>
      </c>
      <c r="N21" s="23">
        <f t="shared" si="9"/>
        <v>99.99588463993733</v>
      </c>
      <c r="O21" s="23">
        <f t="shared" si="10"/>
        <v>100.63820800950255</v>
      </c>
      <c r="P21" s="18">
        <f t="shared" si="11"/>
        <v>0.63820800950232126</v>
      </c>
      <c r="Q21" s="23">
        <f t="shared" si="12"/>
        <v>4.1153600628961451E-3</v>
      </c>
    </row>
    <row r="22" spans="1:17" x14ac:dyDescent="0.25">
      <c r="J22" s="8"/>
      <c r="K22" s="8">
        <f t="shared" si="13"/>
        <v>39675</v>
      </c>
      <c r="L22" s="2"/>
      <c r="M22" s="23">
        <f t="shared" si="8"/>
        <v>0.96875</v>
      </c>
      <c r="N22" s="23">
        <f t="shared" si="9"/>
        <v>99.995352531543475</v>
      </c>
      <c r="O22" s="23">
        <f t="shared" si="10"/>
        <v>100.96410253154347</v>
      </c>
      <c r="P22" s="18">
        <f t="shared" si="11"/>
        <v>0.96410253154324721</v>
      </c>
      <c r="Q22" s="23">
        <f t="shared" si="12"/>
        <v>4.6474684567527902E-3</v>
      </c>
    </row>
    <row r="23" spans="1:17" x14ac:dyDescent="0.25">
      <c r="J23" s="8"/>
      <c r="K23" s="8">
        <f t="shared" si="13"/>
        <v>39706</v>
      </c>
      <c r="L23" s="2"/>
      <c r="M23" s="23">
        <f t="shared" si="8"/>
        <v>1.2951766304347827</v>
      </c>
      <c r="N23" s="23">
        <f t="shared" si="9"/>
        <v>99.995875760298389</v>
      </c>
      <c r="O23" s="23">
        <f t="shared" si="10"/>
        <v>101.29105239073317</v>
      </c>
      <c r="P23" s="18">
        <f t="shared" si="11"/>
        <v>1.2910523907329434</v>
      </c>
      <c r="Q23" s="23">
        <f t="shared" si="12"/>
        <v>4.1242397018392829E-3</v>
      </c>
    </row>
    <row r="24" spans="1:17" x14ac:dyDescent="0.25">
      <c r="J24" s="8"/>
      <c r="K24" s="8">
        <f t="shared" si="13"/>
        <v>39736</v>
      </c>
      <c r="L24" s="2"/>
      <c r="M24" s="23">
        <f t="shared" si="8"/>
        <v>1.6110733695652173</v>
      </c>
      <c r="N24" s="23">
        <f t="shared" si="9"/>
        <v>99.99739015105682</v>
      </c>
      <c r="O24" s="23">
        <f t="shared" si="10"/>
        <v>101.60846352062204</v>
      </c>
      <c r="P24" s="18">
        <f t="shared" si="11"/>
        <v>1.608463520621811</v>
      </c>
      <c r="Q24" s="23">
        <f t="shared" si="12"/>
        <v>2.6098489434063232E-3</v>
      </c>
    </row>
    <row r="25" spans="1:17" x14ac:dyDescent="0.25">
      <c r="J25" s="8"/>
      <c r="K25" s="8">
        <f t="shared" si="13"/>
        <v>39767</v>
      </c>
      <c r="L25" s="8">
        <f>K25</f>
        <v>39767</v>
      </c>
      <c r="M25" s="23">
        <f t="shared" si="8"/>
        <v>1.9375</v>
      </c>
      <c r="N25" s="23">
        <f t="shared" si="9"/>
        <v>100.0000000000002</v>
      </c>
      <c r="O25" s="23">
        <f t="shared" si="10"/>
        <v>101.9375000000002</v>
      </c>
      <c r="P25" s="18">
        <f t="shared" si="11"/>
        <v>1.9374999999999716</v>
      </c>
      <c r="Q25" s="23">
        <f t="shared" si="12"/>
        <v>2.8421709430404007E-14</v>
      </c>
    </row>
    <row r="26" spans="1:17" x14ac:dyDescent="0.25">
      <c r="J26" s="8"/>
      <c r="K26" s="36">
        <v>39768</v>
      </c>
      <c r="L26" s="36"/>
      <c r="M26" s="34">
        <f t="shared" ref="M26:M32" si="14">($L$9/2)*(K26-$L$25)/($L$32-$L$25)</f>
        <v>1.0704419889502763E-2</v>
      </c>
      <c r="N26" s="34">
        <f t="shared" si="9"/>
        <v>99.999898183248035</v>
      </c>
      <c r="O26" s="34">
        <f t="shared" si="10"/>
        <v>100.01060260313754</v>
      </c>
      <c r="P26" s="39">
        <f>O26-100</f>
        <v>1.0602603137542133E-2</v>
      </c>
      <c r="Q26" s="34">
        <f t="shared" si="12"/>
        <v>1.0181675196063028E-4</v>
      </c>
    </row>
    <row r="27" spans="1:17" x14ac:dyDescent="0.25">
      <c r="J27" s="8"/>
      <c r="K27" s="8">
        <f>EDATE(K25,1)</f>
        <v>39797</v>
      </c>
      <c r="L27" s="2"/>
      <c r="M27" s="23">
        <f t="shared" si="14"/>
        <v>0.32113259668508287</v>
      </c>
      <c r="N27" s="23">
        <f t="shared" si="9"/>
        <v>99.99743498778389</v>
      </c>
      <c r="O27" s="23">
        <f t="shared" si="10"/>
        <v>100.31856758446898</v>
      </c>
      <c r="P27" s="38">
        <f t="shared" ref="P27:P32" si="15">O27-100</f>
        <v>0.3185675844689797</v>
      </c>
      <c r="Q27" s="23">
        <f t="shared" si="12"/>
        <v>2.5650122161031685E-3</v>
      </c>
    </row>
    <row r="28" spans="1:17" x14ac:dyDescent="0.25">
      <c r="J28" s="8"/>
      <c r="K28" s="8">
        <f t="shared" si="13"/>
        <v>39828</v>
      </c>
      <c r="L28" s="2"/>
      <c r="M28" s="23">
        <f t="shared" si="14"/>
        <v>0.65296961325966851</v>
      </c>
      <c r="N28" s="23">
        <f t="shared" si="9"/>
        <v>99.995850672388571</v>
      </c>
      <c r="O28" s="23">
        <f t="shared" si="10"/>
        <v>100.64882028564824</v>
      </c>
      <c r="P28" s="38">
        <f t="shared" si="15"/>
        <v>0.64882028564824168</v>
      </c>
      <c r="Q28" s="23">
        <f t="shared" si="12"/>
        <v>4.149327611426834E-3</v>
      </c>
    </row>
    <row r="29" spans="1:17" x14ac:dyDescent="0.25">
      <c r="J29" s="8"/>
      <c r="K29" s="8">
        <f t="shared" si="13"/>
        <v>39859</v>
      </c>
      <c r="L29" s="2"/>
      <c r="M29" s="23">
        <f t="shared" si="14"/>
        <v>0.98480662983425415</v>
      </c>
      <c r="N29" s="23">
        <f t="shared" si="9"/>
        <v>99.995353561976941</v>
      </c>
      <c r="O29" s="23">
        <f t="shared" si="10"/>
        <v>100.98016019181119</v>
      </c>
      <c r="P29" s="38">
        <f t="shared" si="15"/>
        <v>0.98016019181119418</v>
      </c>
      <c r="Q29" s="23">
        <f t="shared" si="12"/>
        <v>4.6464380230599733E-3</v>
      </c>
    </row>
    <row r="30" spans="1:17" x14ac:dyDescent="0.25">
      <c r="J30" s="8"/>
      <c r="K30" s="8">
        <f t="shared" si="13"/>
        <v>39887</v>
      </c>
      <c r="L30" s="2"/>
      <c r="M30" s="23">
        <f t="shared" si="14"/>
        <v>1.2845303867403315</v>
      </c>
      <c r="N30" s="23">
        <f t="shared" si="9"/>
        <v>99.995842011758384</v>
      </c>
      <c r="O30" s="23">
        <f t="shared" si="10"/>
        <v>101.28037239849871</v>
      </c>
      <c r="P30" s="38">
        <f t="shared" si="15"/>
        <v>1.280372398498713</v>
      </c>
      <c r="Q30" s="23">
        <f t="shared" si="12"/>
        <v>4.1579882416185043E-3</v>
      </c>
    </row>
    <row r="31" spans="1:17" x14ac:dyDescent="0.25">
      <c r="J31" s="8"/>
      <c r="K31" s="8">
        <f t="shared" si="13"/>
        <v>39918</v>
      </c>
      <c r="L31" s="2"/>
      <c r="M31" s="23">
        <f t="shared" si="14"/>
        <v>1.6163674033149171</v>
      </c>
      <c r="N31" s="23">
        <f t="shared" si="9"/>
        <v>99.99742399593741</v>
      </c>
      <c r="O31" s="23">
        <f t="shared" si="10"/>
        <v>101.61379139925232</v>
      </c>
      <c r="P31" s="38">
        <f t="shared" si="15"/>
        <v>1.613791399252321</v>
      </c>
      <c r="Q31" s="23">
        <f t="shared" si="12"/>
        <v>2.5760040625961711E-3</v>
      </c>
    </row>
    <row r="32" spans="1:17" x14ac:dyDescent="0.25">
      <c r="J32" s="16"/>
      <c r="K32" s="8">
        <f t="shared" si="13"/>
        <v>39948</v>
      </c>
      <c r="L32" s="8">
        <f>K32</f>
        <v>39948</v>
      </c>
      <c r="M32" s="23">
        <f t="shared" si="14"/>
        <v>1.9375</v>
      </c>
      <c r="N32" s="23">
        <f t="shared" si="9"/>
        <v>100.00000000000021</v>
      </c>
      <c r="O32" s="23">
        <f t="shared" si="10"/>
        <v>101.93750000000021</v>
      </c>
      <c r="P32" s="38">
        <f t="shared" si="15"/>
        <v>1.9375000000002132</v>
      </c>
      <c r="Q32" s="23">
        <f t="shared" si="12"/>
        <v>-2.1316282072803006E-13</v>
      </c>
    </row>
    <row r="33" spans="3:14" ht="14.25" customHeight="1" x14ac:dyDescent="0.25">
      <c r="J33" s="8"/>
      <c r="K33" s="8"/>
      <c r="L33" s="23"/>
      <c r="M33" s="23"/>
      <c r="N33" s="23"/>
    </row>
    <row r="34" spans="3:14" x14ac:dyDescent="0.25">
      <c r="L34" s="16"/>
      <c r="M34" s="16"/>
      <c r="N34" s="16"/>
    </row>
    <row r="39" spans="3:14" x14ac:dyDescent="0.25">
      <c r="C39" s="3"/>
      <c r="D39" s="3"/>
      <c r="E39" s="3"/>
    </row>
    <row r="40" spans="3:14" x14ac:dyDescent="0.25">
      <c r="C40" s="3"/>
      <c r="D40" s="3"/>
      <c r="E40" s="3"/>
    </row>
    <row r="41" spans="3:14" x14ac:dyDescent="0.25">
      <c r="C41" s="3"/>
      <c r="D41" s="3"/>
      <c r="E41" s="3"/>
    </row>
    <row r="42" spans="3:14" x14ac:dyDescent="0.25">
      <c r="C42" s="3"/>
      <c r="D42" s="3"/>
      <c r="E42" s="3"/>
    </row>
    <row r="43" spans="3:14" x14ac:dyDescent="0.25">
      <c r="C43" s="3"/>
      <c r="D43" s="3"/>
      <c r="E43" s="3"/>
    </row>
    <row r="44" spans="3:14" x14ac:dyDescent="0.25">
      <c r="C44" s="3"/>
      <c r="D44" s="3"/>
      <c r="E44" s="3"/>
    </row>
    <row r="45" spans="3:14" x14ac:dyDescent="0.25">
      <c r="C45" s="3"/>
      <c r="D45" s="3"/>
      <c r="E45" s="3"/>
    </row>
    <row r="46" spans="3:14" x14ac:dyDescent="0.25">
      <c r="C46" s="3"/>
      <c r="D46" s="3"/>
      <c r="E46" s="3"/>
    </row>
    <row r="47" spans="3:14" x14ac:dyDescent="0.25">
      <c r="C47" s="3"/>
      <c r="D47" s="3"/>
      <c r="E47" s="3"/>
    </row>
    <row r="48" spans="3:14" x14ac:dyDescent="0.25">
      <c r="C48" s="3"/>
      <c r="D48" s="3"/>
      <c r="E48" s="3"/>
    </row>
    <row r="49" spans="3:9" x14ac:dyDescent="0.25">
      <c r="C49" s="3"/>
      <c r="D49" s="3"/>
      <c r="E49" s="3"/>
    </row>
    <row r="50" spans="3:9" x14ac:dyDescent="0.25">
      <c r="C50" s="3"/>
      <c r="D50" s="3"/>
      <c r="E50" s="3"/>
    </row>
    <row r="51" spans="3:9" x14ac:dyDescent="0.25">
      <c r="C51" s="3"/>
      <c r="D51" s="3"/>
      <c r="E51" s="3"/>
    </row>
    <row r="52" spans="3:9" x14ac:dyDescent="0.25">
      <c r="C52" s="3"/>
      <c r="D52" s="3"/>
      <c r="E52" s="3"/>
    </row>
    <row r="53" spans="3:9" x14ac:dyDescent="0.25">
      <c r="C53" s="3"/>
      <c r="D53" s="3"/>
      <c r="E53" s="3"/>
    </row>
    <row r="54" spans="3:9" s="10" customFormat="1" x14ac:dyDescent="0.25">
      <c r="I54" s="29"/>
    </row>
    <row r="55" spans="3:9" x14ac:dyDescent="0.25">
      <c r="C55" s="3"/>
      <c r="D55" s="3"/>
      <c r="E55" s="3"/>
    </row>
    <row r="56" spans="3:9" x14ac:dyDescent="0.25">
      <c r="C56" s="3"/>
      <c r="D56" s="3"/>
      <c r="E56" s="3"/>
    </row>
    <row r="57" spans="3:9" x14ac:dyDescent="0.25">
      <c r="C57" s="3"/>
      <c r="D57" s="3"/>
      <c r="E57" s="3"/>
    </row>
    <row r="58" spans="3:9" x14ac:dyDescent="0.25">
      <c r="C58" s="3"/>
      <c r="D58" s="3"/>
      <c r="E58" s="3"/>
    </row>
    <row r="59" spans="3:9" x14ac:dyDescent="0.25">
      <c r="C59" s="3"/>
      <c r="D59" s="3"/>
      <c r="E59" s="3"/>
    </row>
    <row r="60" spans="3:9" x14ac:dyDescent="0.25">
      <c r="C60" s="3"/>
      <c r="D60" s="3"/>
      <c r="E60" s="3"/>
    </row>
    <row r="61" spans="3:9" x14ac:dyDescent="0.25">
      <c r="C61" s="3"/>
      <c r="D61" s="3"/>
      <c r="E61" s="3"/>
    </row>
    <row r="62" spans="3:9" s="10" customFormat="1" x14ac:dyDescent="0.25"/>
    <row r="63" spans="3:9" x14ac:dyDescent="0.25">
      <c r="C63" s="3"/>
      <c r="D63" s="3"/>
      <c r="E63" s="3"/>
    </row>
    <row r="64" spans="3:9" x14ac:dyDescent="0.25">
      <c r="C64" s="3"/>
      <c r="D64" s="3"/>
      <c r="E64" s="3"/>
    </row>
    <row r="65" spans="1:5" x14ac:dyDescent="0.25">
      <c r="C65" s="3"/>
      <c r="D65" s="3"/>
      <c r="E65" s="3"/>
    </row>
    <row r="66" spans="1:5" x14ac:dyDescent="0.25">
      <c r="C66" s="3"/>
      <c r="D66" s="3"/>
      <c r="E66" s="3"/>
    </row>
    <row r="67" spans="1:5" x14ac:dyDescent="0.25">
      <c r="C67" s="3"/>
      <c r="D67" s="3"/>
      <c r="E67" s="3"/>
    </row>
    <row r="68" spans="1:5" x14ac:dyDescent="0.25">
      <c r="C68" s="3"/>
      <c r="D68" s="3"/>
      <c r="E68" s="3"/>
    </row>
    <row r="69" spans="1:5" x14ac:dyDescent="0.25">
      <c r="C69" s="16"/>
      <c r="D69" s="16"/>
      <c r="E69" s="16"/>
    </row>
    <row r="70" spans="1:5" x14ac:dyDescent="0.25">
      <c r="C70" s="16"/>
      <c r="D70" s="16"/>
      <c r="E70" s="16"/>
    </row>
    <row r="71" spans="1:5" x14ac:dyDescent="0.25">
      <c r="C71" s="16"/>
      <c r="D71" s="16"/>
      <c r="E71" s="16"/>
    </row>
    <row r="73" spans="1:5" x14ac:dyDescent="0.25">
      <c r="A73" s="5"/>
      <c r="C73" s="3"/>
      <c r="D73" s="3"/>
      <c r="E73" s="3"/>
    </row>
    <row r="74" spans="1:5" x14ac:dyDescent="0.25">
      <c r="C74" s="18"/>
      <c r="D74" s="18"/>
      <c r="E74" s="18"/>
    </row>
    <row r="75" spans="1:5" x14ac:dyDescent="0.25">
      <c r="C75" s="18"/>
      <c r="D75" s="18"/>
      <c r="E75" s="18"/>
    </row>
    <row r="76" spans="1:5" x14ac:dyDescent="0.25">
      <c r="C76" s="18"/>
      <c r="D76" s="18"/>
      <c r="E76" s="18"/>
    </row>
  </sheetData>
  <pageMargins left="0.7" right="0.7" top="0.75" bottom="0.75" header="0.3" footer="0.3"/>
  <pageSetup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16"/>
  <sheetViews>
    <sheetView workbookViewId="0">
      <selection activeCell="B2" sqref="B2"/>
    </sheetView>
  </sheetViews>
  <sheetFormatPr defaultRowHeight="15" x14ac:dyDescent="0.25"/>
  <cols>
    <col min="1" max="1" width="24.5703125" customWidth="1"/>
    <col min="2" max="2" width="22.42578125" bestFit="1" customWidth="1"/>
    <col min="3" max="3" width="23" bestFit="1" customWidth="1"/>
    <col min="4" max="4" width="22.85546875" bestFit="1" customWidth="1"/>
    <col min="8" max="8" width="9.5703125" bestFit="1" customWidth="1"/>
  </cols>
  <sheetData>
    <row r="1" spans="1:8" x14ac:dyDescent="0.25">
      <c r="B1" t="s">
        <v>113</v>
      </c>
    </row>
    <row r="2" spans="1:8" x14ac:dyDescent="0.25">
      <c r="A2" t="s">
        <v>71</v>
      </c>
      <c r="B2" s="52">
        <f>_xll.BDP(B$1,$A2)</f>
        <v>0.56572583820653222</v>
      </c>
    </row>
    <row r="3" spans="1:8" x14ac:dyDescent="0.25">
      <c r="A3" t="s">
        <v>72</v>
      </c>
      <c r="B3" s="52">
        <f>_xll.BDP(B$1,$A3)</f>
        <v>0.56316392350395095</v>
      </c>
    </row>
    <row r="4" spans="1:8" x14ac:dyDescent="0.25">
      <c r="A4" t="s">
        <v>73</v>
      </c>
      <c r="B4" s="52">
        <f>_xll.BDP(B$1,$A4)</f>
        <v>0.56060213254884861</v>
      </c>
    </row>
    <row r="5" spans="1:8" x14ac:dyDescent="0.25">
      <c r="A5" t="s">
        <v>11</v>
      </c>
      <c r="B5" s="52">
        <f>_xll.BDP(B$1,$A5)</f>
        <v>0.56462690000000004</v>
      </c>
    </row>
    <row r="6" spans="1:8" x14ac:dyDescent="0.25">
      <c r="A6" t="s">
        <v>12</v>
      </c>
      <c r="B6" s="52">
        <f>_xll.BDP(B$1,$A6)</f>
        <v>0.5620733</v>
      </c>
    </row>
    <row r="7" spans="1:8" x14ac:dyDescent="0.25">
      <c r="A7" t="s">
        <v>13</v>
      </c>
      <c r="B7" s="52">
        <f>_xll.BDP(B$1,$A7)</f>
        <v>0.55951980000000001</v>
      </c>
    </row>
    <row r="8" spans="1:8" x14ac:dyDescent="0.25">
      <c r="A8" t="s">
        <v>3</v>
      </c>
      <c r="B8" s="52">
        <f>_xll.BDP(B$1,$A8)</f>
        <v>0.56492797915247939</v>
      </c>
    </row>
    <row r="9" spans="1:8" x14ac:dyDescent="0.25">
      <c r="A9" t="s">
        <v>4</v>
      </c>
      <c r="B9" s="52">
        <f>_xll.BDP(B$1,$A9)</f>
        <v>0.56237326428299717</v>
      </c>
      <c r="H9" s="43">
        <f>1/(1+0.04*175/365)</f>
        <v>0.98118279569892475</v>
      </c>
    </row>
    <row r="10" spans="1:8" x14ac:dyDescent="0.25">
      <c r="A10" t="s">
        <v>5</v>
      </c>
      <c r="B10" s="52">
        <f>_xll.BDP(B$1,$A10)</f>
        <v>0.55981864027387895</v>
      </c>
    </row>
    <row r="11" spans="1:8" x14ac:dyDescent="0.25">
      <c r="A11" t="s">
        <v>74</v>
      </c>
      <c r="B11" s="52">
        <f>_xll.BDP(B$1,$A11)</f>
        <v>0.56492797915247939</v>
      </c>
    </row>
    <row r="12" spans="1:8" x14ac:dyDescent="0.25">
      <c r="A12" t="s">
        <v>75</v>
      </c>
      <c r="B12" s="52">
        <f>_xll.BDP(B$1,$A12)</f>
        <v>0.56237326428299717</v>
      </c>
    </row>
    <row r="13" spans="1:8" x14ac:dyDescent="0.25">
      <c r="A13" t="s">
        <v>76</v>
      </c>
      <c r="B13" s="52">
        <f>_xll.BDP(B$1,$A13)</f>
        <v>0.55981864027387895</v>
      </c>
    </row>
    <row r="14" spans="1:8" x14ac:dyDescent="0.25">
      <c r="A14" t="s">
        <v>14</v>
      </c>
      <c r="B14" s="52">
        <f>_xll.BDP(B$1,$A14)</f>
        <v>0.55791581471679219</v>
      </c>
    </row>
    <row r="15" spans="1:8" x14ac:dyDescent="0.25">
      <c r="A15" t="s">
        <v>15</v>
      </c>
      <c r="B15" s="52">
        <f>_xll.BDP(B$1,$A15)</f>
        <v>0.55538953937135394</v>
      </c>
    </row>
    <row r="16" spans="1:8" x14ac:dyDescent="0.25">
      <c r="A16" t="s">
        <v>16</v>
      </c>
      <c r="B16" s="52">
        <f>_xll.BDP(B$1,$A16)</f>
        <v>0.55286338359050369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EG US T_Bill m &lt;= 182</vt:lpstr>
      <vt:lpstr>EG US T_Bill m &gt; 182</vt:lpstr>
      <vt:lpstr>US T_Bill Short</vt:lpstr>
      <vt:lpstr>US T_Bill Long</vt:lpstr>
      <vt:lpstr>EG T-Note</vt:lpstr>
      <vt:lpstr>T-Note</vt:lpstr>
      <vt:lpstr>Ac Int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Anton.Theunissen</cp:lastModifiedBy>
  <dcterms:created xsi:type="dcterms:W3CDTF">2010-02-22T20:47:31Z</dcterms:created>
  <dcterms:modified xsi:type="dcterms:W3CDTF">2016-09-11T18:45:15Z</dcterms:modified>
</cp:coreProperties>
</file>